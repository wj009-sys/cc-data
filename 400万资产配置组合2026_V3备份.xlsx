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1" autoFilterDateGrouping="1"/>
  </bookViews>
  <sheets>
    <sheet xmlns:r="http://schemas.openxmlformats.org/officeDocument/2006/relationships" name="投资纪要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流水" sheetId="3" state="visible" r:id="rId3"/>
    <sheet xmlns:r="http://schemas.openxmlformats.org/officeDocument/2006/relationships" name="日报" sheetId="4" state="visible" r:id="rId4"/>
  </sheets>
  <definedNames>
    <definedName name="_xlnm._FilterDatabase" localSheetId="2" hidden="1">'流水'!$A$1:$F$26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yyyy/m/d;@"/>
    <numFmt numFmtId="165" formatCode="_ * #,##0.000_ ;_ * \-#,##0.000_ ;_ * &quot;-&quot;??.00_ ;_ @_ "/>
    <numFmt numFmtId="166" formatCode="_ * #,##0_ ;_ * \-#,##0_ ;_ * &quot;-&quot;??_ ;_ @_ "/>
    <numFmt numFmtId="167" formatCode="_ * #,##0.00_ ;_ * \-#,##0.00_ ;_ * &quot;-&quot;??_ ;_ @_ "/>
    <numFmt numFmtId="168" formatCode="[$-409]yyyy\-mm\-dd;@"/>
    <numFmt numFmtId="169" formatCode="_ * #,##0.000_ ;_ * \-#,##0.000_ ;_ * &quot;-&quot;??.0_ ;_ @_ "/>
    <numFmt numFmtId="170" formatCode="0.0000%"/>
    <numFmt numFmtId="171" formatCode="0.000%"/>
    <numFmt numFmtId="172" formatCode="0.0000"/>
    <numFmt numFmtId="173" formatCode="_ * #,##0.00_ ;_ * \-#,##0.00_ ;_ * &quot;-&quot;??.00_ ;_ @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b val="1"/>
      <sz val="12"/>
      <scheme val="minor"/>
    </font>
    <font>
      <name val="微软雅黑"/>
      <charset val="134"/>
      <b val="1"/>
      <sz val="12"/>
    </font>
    <font>
      <name val="微软雅黑"/>
      <charset val="134"/>
      <i val="1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CC0000"/>
      <sz val="9"/>
    </font>
    <font>
      <name val="微软雅黑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5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6" borderId="5" applyAlignment="1">
      <alignment vertical="center"/>
    </xf>
    <xf numFmtId="0" fontId="19" fillId="7" borderId="6" applyAlignment="1">
      <alignment vertical="center"/>
    </xf>
    <xf numFmtId="0" fontId="20" fillId="7" borderId="5" applyAlignment="1">
      <alignment vertical="center"/>
    </xf>
    <xf numFmtId="0" fontId="21" fillId="8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9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70" fontId="0" fillId="0" borderId="0" applyAlignment="1" pivotButton="0" quotePrefix="0" xfId="3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9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left" vertical="center" wrapText="1"/>
    </xf>
    <xf numFmtId="170" fontId="0" fillId="0" borderId="1" applyAlignment="1" pivotButton="0" quotePrefix="0" xfId="3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 wrapText="1"/>
    </xf>
    <xf numFmtId="167" fontId="2" fillId="2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171" fontId="0" fillId="2" borderId="1" applyAlignment="1" pivotButton="0" quotePrefix="0" xfId="3">
      <alignment vertical="center"/>
    </xf>
    <xf numFmtId="172" fontId="0" fillId="2" borderId="1" applyAlignment="1" pivotButton="0" quotePrefix="0" xfId="0">
      <alignment vertical="center"/>
    </xf>
    <xf numFmtId="166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/>
    </xf>
    <xf numFmtId="169" fontId="0" fillId="2" borderId="1" applyAlignment="1" pivotButton="0" quotePrefix="0" xfId="0">
      <alignment vertical="center"/>
    </xf>
    <xf numFmtId="167" fontId="0" fillId="2" borderId="1" applyAlignment="1" pivotButton="0" quotePrefix="0" xfId="3">
      <alignment vertical="center"/>
    </xf>
    <xf numFmtId="170" fontId="0" fillId="2" borderId="1" applyAlignment="1" pivotButton="0" quotePrefix="0" xfId="3">
      <alignment vertical="center"/>
    </xf>
    <xf numFmtId="167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71" fontId="0" fillId="0" borderId="1" applyAlignment="1" pivotButton="0" quotePrefix="0" xfId="3">
      <alignment vertical="center"/>
    </xf>
    <xf numFmtId="169" fontId="0" fillId="0" borderId="1" applyAlignment="1" pivotButton="0" quotePrefix="0" xfId="0">
      <alignment vertical="center"/>
    </xf>
    <xf numFmtId="169" fontId="0" fillId="3" borderId="1" applyAlignment="1" pivotButton="0" quotePrefix="0" xfId="0">
      <alignment vertical="center"/>
    </xf>
    <xf numFmtId="167" fontId="0" fillId="0" borderId="1" applyAlignment="1" pivotButton="0" quotePrefix="0" xfId="3">
      <alignment vertical="center"/>
    </xf>
    <xf numFmtId="172" fontId="0" fillId="0" borderId="1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4" borderId="1" pivotButton="0" quotePrefix="0" xfId="0"/>
    <xf numFmtId="0" fontId="7" fillId="0" borderId="1" applyAlignment="1" pivotButton="0" quotePrefix="0" xfId="0">
      <alignment vertical="center" wrapText="1"/>
    </xf>
    <xf numFmtId="0" fontId="7" fillId="0" borderId="1" pivotButton="0" quotePrefix="0" xfId="0"/>
    <xf numFmtId="0" fontId="8" fillId="0" borderId="0" applyAlignment="1" pivotButton="0" quotePrefix="0" xfId="0">
      <alignment vertical="center" wrapText="1"/>
    </xf>
    <xf numFmtId="0" fontId="5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70" fontId="0" fillId="0" borderId="0" applyAlignment="1" pivotButton="0" quotePrefix="0" xfId="3">
      <alignment vertical="center"/>
    </xf>
    <xf numFmtId="169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left" vertical="center" wrapText="1"/>
    </xf>
    <xf numFmtId="170" fontId="0" fillId="0" borderId="1" applyAlignment="1" pivotButton="0" quotePrefix="0" xfId="3">
      <alignment vertical="center"/>
    </xf>
    <xf numFmtId="167" fontId="0" fillId="2" borderId="1" applyAlignment="1" pivotButton="0" quotePrefix="0" xfId="0">
      <alignment vertical="center" wrapText="1"/>
    </xf>
    <xf numFmtId="167" fontId="2" fillId="2" borderId="1" applyAlignment="1" pivotButton="0" quotePrefix="0" xfId="0">
      <alignment horizontal="center" vertical="center" wrapText="1"/>
    </xf>
    <xf numFmtId="171" fontId="0" fillId="2" borderId="1" applyAlignment="1" pivotButton="0" quotePrefix="0" xfId="3">
      <alignment vertical="center"/>
    </xf>
    <xf numFmtId="172" fontId="0" fillId="2" borderId="1" applyAlignment="1" pivotButton="0" quotePrefix="0" xfId="0">
      <alignment vertical="center"/>
    </xf>
    <xf numFmtId="166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/>
    </xf>
    <xf numFmtId="169" fontId="0" fillId="2" borderId="1" applyAlignment="1" pivotButton="0" quotePrefix="0" xfId="0">
      <alignment vertical="center"/>
    </xf>
    <xf numFmtId="167" fontId="0" fillId="2" borderId="1" applyAlignment="1" pivotButton="0" quotePrefix="0" xfId="3">
      <alignment vertical="center"/>
    </xf>
    <xf numFmtId="170" fontId="0" fillId="2" borderId="1" applyAlignment="1" pivotButton="0" quotePrefix="0" xfId="3">
      <alignment vertical="center"/>
    </xf>
    <xf numFmtId="167" fontId="0" fillId="0" borderId="1" pivotButton="0" quotePrefix="0" xfId="0"/>
    <xf numFmtId="167" fontId="0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horizontal="center" vertical="center" wrapText="1"/>
    </xf>
    <xf numFmtId="171" fontId="0" fillId="0" borderId="1" applyAlignment="1" pivotButton="0" quotePrefix="0" xfId="3">
      <alignment vertical="center"/>
    </xf>
    <xf numFmtId="169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9" fontId="0" fillId="3" borderId="1" applyAlignment="1" pivotButton="0" quotePrefix="0" xfId="0">
      <alignment vertical="center"/>
    </xf>
    <xf numFmtId="167" fontId="0" fillId="0" borderId="1" applyAlignment="1" pivotButton="0" quotePrefix="0" xfId="3">
      <alignment vertical="center"/>
    </xf>
    <xf numFmtId="172" fontId="0" fillId="0" borderId="1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0" sqref="A10:E10"/>
    </sheetView>
  </sheetViews>
  <sheetFormatPr baseColWidth="8" defaultColWidth="9" defaultRowHeight="14"/>
  <cols>
    <col width="18" customWidth="1" style="1" min="1" max="1"/>
    <col width="30" customWidth="1" style="1" min="2" max="2"/>
    <col width="35" customWidth="1" style="1" min="3" max="3"/>
    <col width="25" customWidth="1" style="1" min="4" max="4"/>
    <col width="35" customWidth="1" style="1" min="5" max="5"/>
  </cols>
  <sheetData>
    <row r="1" ht="20" customHeight="1" s="1">
      <c r="A1" s="46" t="inlineStr">
        <is>
          <t>400万资产配置 -- 投资纪律速查（V3优化版 2026-06-26）</t>
        </is>
      </c>
    </row>
    <row r="3" ht="16.5" customHeight="1" s="1">
      <c r="A3" s="47" t="inlineStr">
        <is>
          <t>一、单档止盈（+20%卖半）</t>
        </is>
      </c>
    </row>
    <row r="4" ht="39" customHeight="1" s="1">
      <c r="A4" s="48" t="inlineStr">
        <is>
          <t>适用：510300/588050/159915/512890/511380</t>
        </is>
      </c>
      <c r="B4" s="49" t="inlineStr">
        <is>
          <t>不适用：债底</t>
        </is>
      </c>
    </row>
    <row r="5" ht="14.5" customHeight="1" s="1">
      <c r="A5" s="50" t="inlineStr">
        <is>
          <t>档位</t>
        </is>
      </c>
      <c r="B5" s="50" t="inlineStr">
        <is>
          <t>浮盈阈值</t>
        </is>
      </c>
      <c r="C5" s="50" t="inlineStr">
        <is>
          <t>减仓比例</t>
        </is>
      </c>
      <c r="D5" s="50" t="inlineStr">
        <is>
          <t>锁定规则</t>
        </is>
      </c>
      <c r="E5" s="51" t="n"/>
    </row>
    <row r="6" ht="14.5" customHeight="1" s="1">
      <c r="A6" s="52" t="inlineStr">
        <is>
          <t>第一档</t>
        </is>
      </c>
      <c r="B6" s="52" t="inlineStr">
        <is>
          <t>&gt;= +20%</t>
        </is>
      </c>
      <c r="C6" s="52" t="inlineStr">
        <is>
          <t>50%</t>
        </is>
      </c>
      <c r="D6" s="52" t="inlineStr">
        <is>
          <t>仅触发一次，标记[已兑现]（重建后重置）</t>
        </is>
      </c>
      <c r="E6" s="53" t="n"/>
    </row>
    <row r="7" ht="14.5" customHeight="1" s="1">
      <c r="A7" s="52" t="inlineStr">
        <is>
          <t>【优化】止盈资金买入511360短融ETF，不临时再配置到其他品种，等待年度再平衡统一调配</t>
        </is>
      </c>
      <c r="B7" s="53" t="n"/>
      <c r="C7" s="53" t="n"/>
      <c r="D7" s="53" t="n"/>
      <c r="E7" s="53" t="n"/>
    </row>
    <row r="8" ht="14.5" customHeight="1" s="1">
      <c r="A8" s="53" t="n"/>
      <c r="B8" s="53" t="n"/>
      <c r="C8" s="53" t="n"/>
      <c r="D8" s="53" t="n"/>
      <c r="E8" s="53" t="n"/>
    </row>
    <row r="9" ht="42" customHeight="1" s="1">
      <c r="A9" s="49" t="inlineStr">
        <is>
          <t>二、统一止损（-15%清仓，观察20日）</t>
        </is>
      </c>
    </row>
    <row r="10" ht="39" customHeight="1" s="1">
      <c r="A10" s="54" t="inlineStr">
        <is>
          <t>适用：510300/588050/159915/512890/511380</t>
        </is>
      </c>
      <c r="B10" s="49" t="inlineStr">
        <is>
          <t>不适用：债底（511260/511010/511360）</t>
        </is>
      </c>
    </row>
    <row r="11">
      <c r="A11" s="49" t="inlineStr">
        <is>
          <t>档位</t>
        </is>
      </c>
      <c r="B11" s="49" t="inlineStr">
        <is>
          <t>浮亏阈值</t>
        </is>
      </c>
      <c r="C11" s="49" t="inlineStr">
        <is>
          <t>执行动作</t>
        </is>
      </c>
      <c r="D11" s="49" t="inlineStr">
        <is>
          <t>后续规则</t>
        </is>
      </c>
    </row>
    <row r="12" ht="16.5" customHeight="1" s="1">
      <c r="A12" s="47" t="inlineStr">
        <is>
          <t>止损线</t>
        </is>
      </c>
      <c r="B12" s="49" t="inlineStr">
        <is>
          <t>&gt;= -15%（较成本价）</t>
        </is>
      </c>
      <c r="C12" s="49" t="inlineStr">
        <is>
          <t>当日或次日开盘市价卖出全部持仓</t>
        </is>
      </c>
      <c r="D12" s="49" t="inlineStr">
        <is>
          <t>清仓后观察20个交易日方可重建（约1个月）</t>
        </is>
      </c>
    </row>
    <row r="13" ht="14.5" customHeight="1" s="1">
      <c r="A13" s="50" t="inlineStr">
        <is>
          <t>【优化】取消高波动专用止损，执行统一规则；观察期40日→20日；取消动态止损预警</t>
        </is>
      </c>
      <c r="B13" s="51" t="n"/>
      <c r="C13" s="51" t="n"/>
      <c r="D13" s="51" t="n"/>
      <c r="E13" s="51" t="n"/>
    </row>
    <row r="14" ht="14.5" customHeight="1" s="1">
      <c r="A14" s="53" t="n"/>
      <c r="B14" s="53" t="n"/>
      <c r="C14" s="53" t="n"/>
      <c r="D14" s="53" t="n"/>
      <c r="E14" s="53" t="n"/>
    </row>
    <row r="15" ht="14.5" customHeight="1" s="1">
      <c r="A15" s="52" t="inlineStr">
        <is>
          <t>三、组合再平衡（年度末 ±20% 阀值）</t>
        </is>
      </c>
      <c r="B15" s="53" t="n"/>
      <c r="C15" s="53" t="n"/>
      <c r="D15" s="53" t="n"/>
      <c r="E15" s="53" t="n"/>
    </row>
    <row r="16" ht="14.5" customHeight="1" s="1">
      <c r="A16" s="52" t="inlineStr">
        <is>
          <t>检查频率</t>
        </is>
      </c>
      <c r="B16" s="52" t="inlineStr">
        <is>
          <t>阀值</t>
        </is>
      </c>
      <c r="C16" s="52" t="inlineStr">
        <is>
          <t>执行动作</t>
        </is>
      </c>
      <c r="D16" s="52" t="inlineStr">
        <is>
          <t>完成时限</t>
        </is>
      </c>
      <c r="E16" s="53" t="n"/>
    </row>
    <row r="17" ht="28" customHeight="1" s="1">
      <c r="A17" s="49" t="inlineStr">
        <is>
          <t>年度末（12月最后交易日）</t>
        </is>
      </c>
      <c r="B17" s="49" t="inlineStr">
        <is>
          <t>相对偏离 &gt; ±20%</t>
        </is>
      </c>
      <c r="C17" s="49" t="inlineStr">
        <is>
          <t>全仓调回目标权重</t>
        </is>
      </c>
      <c r="D17" s="49" t="inlineStr">
        <is>
          <t>当日收盘执行</t>
        </is>
      </c>
    </row>
    <row r="18" ht="28" customHeight="1" s="1">
      <c r="A18" s="54" t="inlineStr">
        <is>
          <t>偏离计算：(实际权重-目标权重)/目标权重</t>
        </is>
      </c>
      <c r="B18" s="49" t="inlineStr">
        <is>
          <t>例：目标10%→实际&lt;8%或&gt;12%触发</t>
        </is>
      </c>
    </row>
    <row r="19" ht="42" customHeight="1" s="1">
      <c r="A19" s="49" t="inlineStr">
        <is>
          <t>卖出排序：黄金&gt;科创/创业&gt;可转债&gt;沪深300&gt;红利低波</t>
        </is>
      </c>
    </row>
    <row r="20" ht="16.5" customHeight="1" s="1">
      <c r="A20" s="47" t="inlineStr">
        <is>
          <t>【优化】再平衡频率从半年度改为年度，降低摩擦成本，让利润充分奔跑</t>
        </is>
      </c>
    </row>
    <row r="21">
      <c r="A21" s="55" t="n"/>
    </row>
    <row r="22" ht="28" customHeight="1" s="1">
      <c r="A22" s="49" t="inlineStr">
        <is>
          <t>四、熔断与黑天鹅应对</t>
        </is>
      </c>
    </row>
    <row r="23" ht="16.5" customHeight="1" s="1">
      <c r="A23" s="47" t="inlineStr">
        <is>
          <t>档位</t>
        </is>
      </c>
      <c r="B23" s="49" t="inlineStr">
        <is>
          <t>组合回撤</t>
        </is>
      </c>
      <c r="C23" s="49" t="inlineStr">
        <is>
          <t>触发状态</t>
        </is>
      </c>
      <c r="D23" s="49" t="inlineStr">
        <is>
          <t>强制动作</t>
        </is>
      </c>
    </row>
    <row r="24" ht="14.5" customHeight="1" s="1">
      <c r="A24" s="50" t="inlineStr">
        <is>
          <t>绿色</t>
        </is>
      </c>
      <c r="B24" s="50" t="inlineStr">
        <is>
          <t>&lt; -5%</t>
        </is>
      </c>
      <c r="C24" s="50" t="inlineStr">
        <is>
          <t>正常波动</t>
        </is>
      </c>
      <c r="D24" s="50" t="inlineStr">
        <is>
          <t>维持既有纪律</t>
        </is>
      </c>
      <c r="E24" s="51" t="n"/>
    </row>
    <row r="25" ht="14.5" customHeight="1" s="1">
      <c r="A25" s="52" t="inlineStr">
        <is>
          <t>黄色</t>
        </is>
      </c>
      <c r="B25" s="52" t="inlineStr">
        <is>
          <t>&gt;= -10%</t>
        </is>
      </c>
      <c r="C25" s="52" t="inlineStr">
        <is>
          <t>组合预警</t>
        </is>
      </c>
      <c r="D25" s="52" t="inlineStr">
        <is>
          <t>暂停新建仓+追涨，仅允许止盈/止损/再平衡</t>
        </is>
      </c>
      <c r="E25" s="53" t="n"/>
    </row>
    <row r="26" ht="14.5" customHeight="1" s="1">
      <c r="A26" s="52" t="inlineStr">
        <is>
          <t>红色</t>
        </is>
      </c>
      <c r="B26" s="52" t="inlineStr">
        <is>
          <t>&gt;= -12%</t>
        </is>
      </c>
      <c r="C26" s="52" t="inlineStr">
        <is>
          <t>组合熔断</t>
        </is>
      </c>
      <c r="D26" s="52" t="inlineStr">
        <is>
          <t>权益压至60%以下，资金转债券/货基</t>
        </is>
      </c>
      <c r="E26" s="53" t="n"/>
    </row>
    <row r="27" ht="14.5" customHeight="1" s="1">
      <c r="A27" s="52" t="inlineStr">
        <is>
          <t>黑天鹅</t>
        </is>
      </c>
      <c r="B27" s="52" t="inlineStr">
        <is>
          <t>&gt;= -15%</t>
        </is>
      </c>
      <c r="C27" s="52" t="inlineStr">
        <is>
          <t>极端风险</t>
        </is>
      </c>
      <c r="D27" s="52" t="inlineStr">
        <is>
          <t>权益压至40%以下；保留20%现金+40%债券</t>
        </is>
      </c>
      <c r="E27" s="53" t="n"/>
    </row>
    <row r="28" ht="56" customHeight="1" s="1">
      <c r="A28" s="49" t="inlineStr">
        <is>
          <t>黑天鹅卖出顺序：科创50&gt;创业板&gt;黄金(保留底10万)&gt;可转债</t>
        </is>
      </c>
      <c r="B28" s="49" t="inlineStr">
        <is>
          <t>恢复：回撤&lt;-10%</t>
        </is>
      </c>
    </row>
    <row r="29" ht="39" customHeight="1" s="1">
      <c r="A29" s="54" t="inlineStr">
        <is>
          <t>不可抗拒条款：触发当日必须下达卖出指令，不得以等反弹为由拖延</t>
        </is>
      </c>
    </row>
    <row r="30">
      <c r="A30" s="56" t="n"/>
    </row>
    <row r="31" ht="56" customHeight="1" s="1">
      <c r="A31" s="49" t="inlineStr">
        <is>
          <t>五、黄金ETF（518880）建仓（底仓+定投+大跌加码）</t>
        </is>
      </c>
    </row>
    <row r="32" ht="16.5" customHeight="1" s="1">
      <c r="A32" s="47" t="inlineStr">
        <is>
          <t>阶段</t>
        </is>
      </c>
      <c r="B32" s="49" t="inlineStr">
        <is>
          <t>触发条件</t>
        </is>
      </c>
      <c r="C32" s="49" t="inlineStr">
        <is>
          <t>单次投入</t>
        </is>
      </c>
      <c r="D32" s="49" t="inlineStr">
        <is>
          <t>累计投入</t>
        </is>
      </c>
      <c r="E32" s="49" t="inlineStr">
        <is>
          <t>仓位进度</t>
        </is>
      </c>
    </row>
    <row r="33" ht="14.5" customHeight="1" s="1">
      <c r="A33" s="50" t="inlineStr">
        <is>
          <t>底仓先行</t>
        </is>
      </c>
      <c r="B33" s="50" t="inlineStr">
        <is>
          <t>立即执行</t>
        </is>
      </c>
      <c r="C33" s="50" t="inlineStr">
        <is>
          <t>25万</t>
        </is>
      </c>
      <c r="D33" s="50" t="inlineStr">
        <is>
          <t>25万</t>
        </is>
      </c>
      <c r="E33" s="50" t="inlineStr">
        <is>
          <t>33%</t>
        </is>
      </c>
    </row>
    <row r="34" ht="14.5" customHeight="1" s="1">
      <c r="A34" s="52" t="inlineStr">
        <is>
          <t>定投阶段</t>
        </is>
      </c>
      <c r="B34" s="52" t="inlineStr">
        <is>
          <t>每月固定（第2-12月）</t>
        </is>
      </c>
      <c r="C34" s="52" t="inlineStr">
        <is>
          <t>4.5万/月</t>
        </is>
      </c>
      <c r="D34" s="52" t="inlineStr">
        <is>
          <t>25-70万</t>
        </is>
      </c>
      <c r="E34" s="52" t="inlineStr">
        <is>
          <t>33%-93%</t>
        </is>
      </c>
    </row>
    <row r="35" ht="14.5" customHeight="1" s="1">
      <c r="A35" s="52" t="inlineStr">
        <is>
          <t>大跌加码</t>
        </is>
      </c>
      <c r="B35" s="52" t="inlineStr">
        <is>
          <t>单月跌幅超5%</t>
        </is>
      </c>
      <c r="C35" s="52" t="inlineStr">
        <is>
          <t>5万/次</t>
        </is>
      </c>
      <c r="D35" s="52" t="inlineStr">
        <is>
          <t>累计不超过75万</t>
        </is>
      </c>
      <c r="E35" s="52" t="inlineStr">
        <is>
          <t>灵活补充</t>
        </is>
      </c>
    </row>
    <row r="36" ht="14.5" customHeight="1" s="1">
      <c r="A36" s="52" t="inlineStr">
        <is>
          <t>收官</t>
        </is>
      </c>
      <c r="B36" s="52" t="inlineStr">
        <is>
          <t>12个月完成或累计达75万</t>
        </is>
      </c>
      <c r="C36" s="52" t="inlineStr">
        <is>
          <t>补齐剩余</t>
        </is>
      </c>
      <c r="D36" s="52" t="inlineStr">
        <is>
          <t>75万</t>
        </is>
      </c>
      <c r="E36" s="52" t="inlineStr">
        <is>
          <t>100%</t>
        </is>
      </c>
    </row>
    <row r="37" ht="14.5" customHeight="1" s="1">
      <c r="A37" s="52" t="inlineStr">
        <is>
          <t>配套规则：时间强制轨道(3月未加码第4月强制4.5万) | 右侧修正(突破前高连5日站稳追入) | 硬止损(-20%且2周暂停)</t>
        </is>
      </c>
      <c r="B37" s="53" t="n"/>
      <c r="C37" s="53" t="n"/>
      <c r="D37" s="53" t="n"/>
      <c r="E37" s="53" t="n"/>
    </row>
    <row r="39">
      <c r="A39" s="57" t="inlineStr">
        <is>
          <t>六、盈利提取规则</t>
        </is>
      </c>
    </row>
    <row r="40" ht="52" customHeight="1" s="1">
      <c r="A40" s="54" t="inlineStr">
        <is>
          <t>年收益&gt;15%时提取50%至独立现金账户，作为胜利果实锁定，不计入再平衡</t>
        </is>
      </c>
    </row>
    <row r="42" ht="16.5" customHeight="1" s="1">
      <c r="A42" s="47" t="inlineStr">
        <is>
          <t>七、流动性三原则</t>
        </is>
      </c>
    </row>
    <row r="43" ht="14.5" customHeight="1" s="1">
      <c r="A43" s="50" t="inlineStr">
        <is>
          <t>511360短融ETF（目标6.25%=25万）：T+0现金管理工具，类现金合计&gt;=25万</t>
        </is>
      </c>
      <c r="B43" s="51" t="n"/>
      <c r="C43" s="51" t="n"/>
      <c r="D43" s="51" t="n"/>
      <c r="E43" s="51" t="n"/>
    </row>
    <row r="44" ht="14.5" customHeight="1" s="1">
      <c r="A44" s="53" t="n"/>
      <c r="B44" s="53" t="n"/>
      <c r="C44" s="53" t="n"/>
      <c r="D44" s="53" t="n"/>
      <c r="E44" s="53" t="n"/>
    </row>
    <row r="45" ht="14.5" customHeight="1" s="1">
      <c r="A45" s="52" t="inlineStr">
        <is>
          <t>━━━ V3回测验证（2021-2025）━━━</t>
        </is>
      </c>
      <c r="B45" s="53" t="n"/>
      <c r="C45" s="53" t="n"/>
      <c r="D45" s="53" t="n"/>
      <c r="E45" s="53" t="n"/>
    </row>
    <row r="46" ht="14.5" customHeight="1" s="1">
      <c r="A46" s="52" t="inlineStr">
        <is>
          <t>规则组合：止盈+20%卖半 + 止损-15%清仓观察20日 + 年度±20%再平衡</t>
        </is>
      </c>
      <c r="B46" s="53" t="n"/>
      <c r="C46" s="53" t="n"/>
      <c r="D46" s="53" t="n"/>
      <c r="E46" s="53" t="n"/>
    </row>
    <row r="47" ht="14.5" customHeight="1" s="1">
      <c r="A47" s="52" t="inlineStr">
        <is>
          <t>CAGR: +6.66% | 累计收益: +151.8万(+37.94%) | 5年总交易: 71笔</t>
        </is>
      </c>
      <c r="B47" s="53" t="n"/>
      <c r="C47" s="53" t="n"/>
      <c r="D47" s="53" t="n"/>
      <c r="E47" s="53" t="n"/>
    </row>
    <row r="48" ht="84" customHeight="1" s="1">
      <c r="A48" s="49" t="inlineStr">
        <is>
          <t>各年收益：2021(+0.82%) 2022(-0.07%) 2023(+5.11%) 2024(+16.11%) 2025(+27.17%)</t>
        </is>
      </c>
    </row>
    <row r="49" ht="52" customHeight="1" s="1">
      <c r="A49" s="57" t="inlineStr">
        <is>
          <t>对比：同期买入持有CAGR +5.81% | 黄金不适用止盈止损，长期持有</t>
        </is>
      </c>
    </row>
    <row r="51" ht="16.5" customHeight="1" s="1">
      <c r="A51" s="58" t="n"/>
    </row>
    <row r="52" ht="14.5" customHeight="1" s="1">
      <c r="A52" s="59" t="n"/>
    </row>
    <row r="54" ht="16.5" customHeight="1" s="1">
      <c r="A54" s="58" t="n"/>
    </row>
    <row r="55" ht="14.5" customHeight="1" s="1">
      <c r="A55" s="5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tabSelected="1" workbookViewId="0">
      <selection activeCell="N27" sqref="N27"/>
    </sheetView>
  </sheetViews>
  <sheetFormatPr baseColWidth="8" defaultColWidth="8.72727272727273" defaultRowHeight="14"/>
  <cols>
    <col width="7.54545454545455" customWidth="1" style="1" min="1" max="1"/>
    <col width="25.7818181818182" customWidth="1" style="1" min="2" max="2"/>
    <col hidden="1" width="16.2727272727273" customWidth="1" style="1" min="3" max="3"/>
    <col width="16.2727272727273" customWidth="1" style="1" min="4" max="4"/>
    <col width="12" customWidth="1" style="1" min="5" max="5"/>
    <col width="11.7818181818182" customWidth="1" style="1" min="6" max="6"/>
    <col width="9.66363636363636" customWidth="1" style="1" min="7" max="7"/>
    <col width="10.6363636363636" customWidth="1" style="60" min="8" max="8"/>
    <col width="10.6363636363636" customWidth="1" style="61" min="9" max="9"/>
    <col width="16.4454545454545" customWidth="1" style="62" min="10" max="10"/>
    <col width="14.2181818181818" customWidth="1" style="63" min="11" max="11"/>
    <col width="15.1818181818182" customWidth="1" style="1" min="12" max="12"/>
    <col width="10.6363636363636" customWidth="1" style="63" min="13" max="13"/>
    <col width="118.636363636364" customWidth="1" style="64" min="14" max="14"/>
    <col width="39.9090909090909" customWidth="1" style="1" min="15" max="15"/>
    <col width="9.54545454545454" customWidth="1" style="1" min="16" max="16"/>
    <col width="12.8181818181818" customWidth="1" style="1" min="17" max="18"/>
  </cols>
  <sheetData>
    <row r="1" ht="115.2" customHeight="1" s="1">
      <c r="A1" s="16" t="inlineStr">
        <is>
          <t>更新日期: 2026-06-27 (数据日期: 2026-06-26)</t>
        </is>
      </c>
      <c r="B1" s="16" t="inlineStr">
        <is>
          <t>名称</t>
        </is>
      </c>
      <c r="C1" s="16" t="inlineStr">
        <is>
          <t>总金额</t>
        </is>
      </c>
      <c r="D1" s="4" t="inlineStr">
        <is>
          <t>目标金额</t>
        </is>
      </c>
      <c r="E1" s="17" t="inlineStr">
        <is>
          <t>目标权重</t>
        </is>
      </c>
      <c r="F1" s="17" t="inlineStr">
        <is>
          <t>当前权重</t>
        </is>
      </c>
      <c r="G1" s="17" t="inlineStr">
        <is>
          <t>偏离</t>
        </is>
      </c>
      <c r="H1" s="65" t="inlineStr">
        <is>
          <t>成本价</t>
        </is>
      </c>
      <c r="I1" s="66" t="inlineStr">
        <is>
          <t>数量</t>
        </is>
      </c>
      <c r="J1" s="67" t="inlineStr">
        <is>
          <t>成本</t>
        </is>
      </c>
      <c r="K1" s="17" t="inlineStr">
        <is>
          <t>今日收盘价</t>
        </is>
      </c>
      <c r="L1" s="67" t="inlineStr">
        <is>
          <t>浮盈/亏</t>
        </is>
      </c>
      <c r="M1" s="68" t="inlineStr">
        <is>
          <t>浮盈/亏率</t>
        </is>
      </c>
      <c r="N1" s="17" t="inlineStr">
        <is>
          <t>备注</t>
        </is>
      </c>
      <c r="O1" s="4" t="inlineStr">
        <is>
          <t>建仓计划</t>
        </is>
      </c>
    </row>
    <row r="2" customFormat="1" s="10">
      <c r="A2" s="22" t="n">
        <v>510300</v>
      </c>
      <c r="B2" s="23" t="inlineStr">
        <is>
          <t>沪深300ETF</t>
        </is>
      </c>
      <c r="C2" s="69" t="n">
        <v>4000000</v>
      </c>
      <c r="D2" s="70">
        <f>E2*C2</f>
        <v/>
      </c>
      <c r="E2" s="26" t="n">
        <v>0.1875</v>
      </c>
      <c r="F2" s="71" t="n">
        <v>0.2248</v>
      </c>
      <c r="G2" s="71" t="n">
        <v>0.0373</v>
      </c>
      <c r="H2" s="72" t="n">
        <v>4.885</v>
      </c>
      <c r="I2" s="73" t="n">
        <v>153800</v>
      </c>
      <c r="J2" s="74">
        <f>H2*I2</f>
        <v/>
      </c>
      <c r="K2" s="75" t="n">
        <v>4.907</v>
      </c>
      <c r="L2" s="76" t="n">
        <v>3383.6</v>
      </c>
      <c r="M2" s="77" t="n">
        <v>0.0045</v>
      </c>
      <c r="N2" s="23" t="n"/>
      <c r="O2" s="78" t="n"/>
      <c r="P2" s="35" t="n"/>
      <c r="Q2" s="35" t="n"/>
      <c r="R2" s="10" t="n">
        <v>42600</v>
      </c>
    </row>
    <row r="3">
      <c r="A3" s="36" t="n">
        <v>588050</v>
      </c>
      <c r="B3" s="36" t="inlineStr">
        <is>
          <t>科创50ETF</t>
        </is>
      </c>
      <c r="C3" s="79" t="n">
        <v>4000000</v>
      </c>
      <c r="D3" s="80">
        <f>E3*C3</f>
        <v/>
      </c>
      <c r="E3" s="39" t="n">
        <v>0.0625</v>
      </c>
      <c r="F3" s="81" t="n">
        <v>0.0371</v>
      </c>
      <c r="G3" s="81" t="n">
        <v>-0.0254</v>
      </c>
      <c r="H3" s="82" t="n">
        <v>1.838</v>
      </c>
      <c r="I3" s="83" t="n">
        <v>60000</v>
      </c>
      <c r="J3" s="84">
        <f>H3*I3</f>
        <v/>
      </c>
      <c r="K3" s="85" t="n">
        <v>2.077</v>
      </c>
      <c r="L3" s="86" t="n">
        <v>14340</v>
      </c>
      <c r="M3" s="68" t="n">
        <v>0.13</v>
      </c>
      <c r="N3" s="4" t="n"/>
      <c r="O3" s="78" t="inlineStr">
        <is>
          <t>42,600份(部分建仓)</t>
        </is>
      </c>
      <c r="R3" s="0" t="n">
        <v>77900</v>
      </c>
    </row>
    <row r="4">
      <c r="A4" s="22" t="n">
        <v>159915</v>
      </c>
      <c r="B4" s="22" t="inlineStr">
        <is>
          <t>易方达创业板ETF</t>
        </is>
      </c>
      <c r="C4" s="69" t="n">
        <v>4000000</v>
      </c>
      <c r="D4" s="70">
        <f>E4*C4</f>
        <v/>
      </c>
      <c r="E4" s="26" t="n">
        <v>0.0625</v>
      </c>
      <c r="F4" s="71" t="n">
        <v>0.0791</v>
      </c>
      <c r="G4" s="71" t="n">
        <v>0.0166</v>
      </c>
      <c r="H4" s="75" t="n">
        <v>3.968</v>
      </c>
      <c r="I4" s="73" t="n">
        <v>63000</v>
      </c>
      <c r="J4" s="74">
        <f>H4*I4</f>
        <v/>
      </c>
      <c r="K4" s="85" t="n">
        <v>4.215</v>
      </c>
      <c r="L4" s="76" t="n">
        <v>15561</v>
      </c>
      <c r="M4" s="77" t="n">
        <v>0.0622</v>
      </c>
      <c r="N4" s="23" t="n"/>
      <c r="O4" s="78" t="inlineStr">
        <is>
          <t>建仓完成</t>
        </is>
      </c>
    </row>
    <row r="5" customFormat="1" s="10">
      <c r="A5" s="22" t="n">
        <v>512890</v>
      </c>
      <c r="B5" s="22" t="inlineStr">
        <is>
          <t>华泰柏瑞红利低波ETF</t>
        </is>
      </c>
      <c r="C5" s="69" t="n">
        <v>4000000</v>
      </c>
      <c r="D5" s="70">
        <f>E5*C5</f>
        <v/>
      </c>
      <c r="E5" s="26" t="n">
        <v>0.0625</v>
      </c>
      <c r="F5" s="71" t="n">
        <v>0.0702</v>
      </c>
      <c r="G5" s="71" t="n">
        <v>0.0077</v>
      </c>
      <c r="H5" s="75" t="n">
        <v>1.15</v>
      </c>
      <c r="I5" s="73" t="n">
        <v>218000</v>
      </c>
      <c r="J5" s="74">
        <f>H5*I5</f>
        <v/>
      </c>
      <c r="K5" s="85" t="n">
        <v>1.081</v>
      </c>
      <c r="L5" s="76" t="n">
        <v>-15042</v>
      </c>
      <c r="M5" s="77" t="n">
        <v>-0.06</v>
      </c>
      <c r="N5" s="23" t="n"/>
      <c r="O5" s="78" t="n"/>
    </row>
    <row r="6" customFormat="1" s="10">
      <c r="A6" s="36" t="n">
        <v>511380</v>
      </c>
      <c r="B6" s="36" t="inlineStr">
        <is>
          <t>可转债ETF</t>
        </is>
      </c>
      <c r="C6" s="79" t="n">
        <v>4000000</v>
      </c>
      <c r="D6" s="80">
        <f>E6*C6</f>
        <v/>
      </c>
      <c r="E6" s="39" t="n">
        <v>0.125</v>
      </c>
      <c r="F6" s="81" t="n">
        <v>0.0596</v>
      </c>
      <c r="G6" s="81" t="n">
        <v>-0.0654</v>
      </c>
      <c r="H6" s="82" t="n">
        <v>13.8644</v>
      </c>
      <c r="I6" s="83" t="n">
        <v>14500</v>
      </c>
      <c r="J6" s="84">
        <f>H6*I6</f>
        <v/>
      </c>
      <c r="K6" s="82" t="n">
        <v>13.792</v>
      </c>
      <c r="L6" s="86" t="n">
        <v>-1049.8</v>
      </c>
      <c r="M6" s="68" t="n">
        <v>-0.0052</v>
      </c>
      <c r="N6" s="4" t="n"/>
      <c r="O6" s="78">
        <f>D6-J6</f>
        <v/>
      </c>
    </row>
    <row r="7">
      <c r="A7" s="22" t="n">
        <v>511260</v>
      </c>
      <c r="B7" s="22" t="inlineStr">
        <is>
          <t>国泰上证10年期国债ETF</t>
        </is>
      </c>
      <c r="C7" s="69" t="n">
        <v>4000000</v>
      </c>
      <c r="D7" s="70">
        <f>E7*C7</f>
        <v/>
      </c>
      <c r="E7" s="26" t="n">
        <v>0.125</v>
      </c>
      <c r="F7" s="71" t="n">
        <v>0.1486</v>
      </c>
      <c r="G7" s="71" t="n">
        <v>0.0236</v>
      </c>
      <c r="H7" s="75" t="n">
        <v>135.645</v>
      </c>
      <c r="I7" s="73" t="n">
        <v>3700</v>
      </c>
      <c r="J7" s="74">
        <f>H7*I7</f>
        <v/>
      </c>
      <c r="K7" s="85" t="n">
        <v>134.796</v>
      </c>
      <c r="L7" s="76" t="n">
        <v>-3141.3</v>
      </c>
      <c r="M7" s="77" t="n">
        <v>-0.0063</v>
      </c>
      <c r="N7" s="23" t="n"/>
      <c r="O7" s="78" t="n"/>
    </row>
    <row r="8" customFormat="1" s="10">
      <c r="A8" s="22" t="n">
        <v>511010</v>
      </c>
      <c r="B8" s="22" t="inlineStr">
        <is>
          <t>国泰上证5年期国债ETF</t>
        </is>
      </c>
      <c r="C8" s="69" t="n">
        <v>4000000</v>
      </c>
      <c r="D8" s="70">
        <f>E8*C8</f>
        <v/>
      </c>
      <c r="E8" s="26" t="n">
        <v>0.125</v>
      </c>
      <c r="F8" s="71" t="n">
        <v>0.1467</v>
      </c>
      <c r="G8" s="71" t="n">
        <v>0.0217</v>
      </c>
      <c r="H8" s="75" t="n">
        <v>141.2121</v>
      </c>
      <c r="I8" s="73" t="n">
        <v>3500</v>
      </c>
      <c r="J8" s="74">
        <f>H8*I8</f>
        <v/>
      </c>
      <c r="K8" s="85" t="n">
        <v>140.721</v>
      </c>
      <c r="L8" s="76" t="n">
        <v>-1718.85</v>
      </c>
      <c r="M8" s="77" t="n">
        <v>-0.0035</v>
      </c>
      <c r="N8" s="23" t="n"/>
      <c r="O8" s="78" t="n"/>
    </row>
    <row r="9" customFormat="1" s="10">
      <c r="A9" s="22" t="n">
        <v>511360</v>
      </c>
      <c r="B9" s="22" t="inlineStr">
        <is>
          <t>海富通中证短融ETF</t>
        </is>
      </c>
      <c r="C9" s="69" t="n">
        <v>4000000</v>
      </c>
      <c r="D9" s="70">
        <f>E9*C9</f>
        <v/>
      </c>
      <c r="E9" s="26" t="n">
        <v>0.0625</v>
      </c>
      <c r="F9" s="71" t="n">
        <v>0.07439999999999999</v>
      </c>
      <c r="G9" s="71" t="n">
        <v>0.0119</v>
      </c>
      <c r="H9" s="75" t="n">
        <v>113.462</v>
      </c>
      <c r="I9" s="73" t="n">
        <v>2200</v>
      </c>
      <c r="J9" s="74">
        <f>H9*I9</f>
        <v/>
      </c>
      <c r="K9" s="85" t="n">
        <v>113.596</v>
      </c>
      <c r="L9" s="76" t="n">
        <v>294.8</v>
      </c>
      <c r="M9" s="77" t="n">
        <v>0.0012</v>
      </c>
      <c r="N9" s="23" t="n"/>
      <c r="O9" s="78" t="n"/>
    </row>
    <row r="10" customFormat="1" s="10">
      <c r="A10" s="36" t="n">
        <v>518880</v>
      </c>
      <c r="B10" s="36" t="inlineStr">
        <is>
          <t>华安黄金ETF</t>
        </is>
      </c>
      <c r="C10" s="79" t="n">
        <v>4000000</v>
      </c>
      <c r="D10" s="80">
        <f>E10*C10</f>
        <v/>
      </c>
      <c r="E10" s="39" t="n">
        <v>0.1875</v>
      </c>
      <c r="F10" s="81" t="n">
        <v>0.1595</v>
      </c>
      <c r="G10" s="81" t="n">
        <v>-0.028</v>
      </c>
      <c r="H10" s="87" t="n">
        <v>9.1196</v>
      </c>
      <c r="I10" s="83" t="n">
        <v>63800</v>
      </c>
      <c r="J10" s="84">
        <f>H10*I10</f>
        <v/>
      </c>
      <c r="K10" s="85" t="n">
        <v>8.390000000000001</v>
      </c>
      <c r="L10" s="86" t="n">
        <v>-46548.48</v>
      </c>
      <c r="M10" s="68" t="n">
        <v>-0.08</v>
      </c>
      <c r="N10" s="4" t="n"/>
      <c r="O10" s="78">
        <f>D10-J10</f>
        <v/>
      </c>
    </row>
    <row r="11">
      <c r="A11" s="4" t="inlineStr"/>
      <c r="B11" s="4" t="inlineStr"/>
      <c r="C11" s="4" t="inlineStr"/>
      <c r="D11" s="84">
        <f>SUM(D2:D10)</f>
        <v/>
      </c>
      <c r="E11" s="39" t="n"/>
      <c r="F11" s="39" t="n"/>
      <c r="G11" s="4" t="inlineStr"/>
      <c r="H11" s="82" t="inlineStr"/>
      <c r="I11" s="83" t="inlineStr"/>
      <c r="J11" s="84">
        <f>SUM(J2:J10)</f>
        <v/>
      </c>
      <c r="K11" s="4" t="n"/>
      <c r="L11" s="84">
        <f>SUM(L2:L10)</f>
        <v/>
      </c>
      <c r="M11" s="68">
        <f>L11/J11</f>
        <v/>
      </c>
      <c r="N11" s="4" t="inlineStr">
        <is>
          <t>👀 偏离关注：相对偏离-16.7%（低配，接近±20%阀值）</t>
        </is>
      </c>
      <c r="O11" s="84" t="inlineStr">
        <is>
          <t>底仓25万+定投4.5万/月+大跌加码5万</t>
        </is>
      </c>
    </row>
    <row r="14">
      <c r="J14" s="88" t="n"/>
    </row>
    <row r="18">
      <c r="J18" s="8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5" sqref="F25"/>
    </sheetView>
  </sheetViews>
  <sheetFormatPr baseColWidth="8" defaultColWidth="9" defaultRowHeight="14"/>
  <cols>
    <col width="20.8181818181818" customWidth="1" style="89" min="1" max="1"/>
    <col width="7.54545454545455" customWidth="1" style="1" min="2" max="2"/>
    <col width="12.9090909090909" customWidth="1" style="1" min="3" max="3"/>
    <col width="10.6363636363636" customWidth="1" style="1" min="4" max="4"/>
    <col width="14" customWidth="1" style="1" min="5" max="5"/>
    <col width="16.4454545454545" customWidth="1" style="1" min="6" max="6"/>
  </cols>
  <sheetData>
    <row r="1">
      <c r="A1" s="90" t="inlineStr">
        <is>
          <t>日期</t>
        </is>
      </c>
      <c r="B1" s="4" t="inlineStr">
        <is>
          <t>代码</t>
        </is>
      </c>
      <c r="C1" s="4" t="inlineStr">
        <is>
          <t>名称</t>
        </is>
      </c>
      <c r="D1" s="4" t="inlineStr">
        <is>
          <t>单价</t>
        </is>
      </c>
      <c r="E1" s="4" t="inlineStr">
        <is>
          <t>数量</t>
        </is>
      </c>
      <c r="F1" s="4" t="inlineStr">
        <is>
          <t>金额</t>
        </is>
      </c>
    </row>
    <row r="2">
      <c r="A2" s="90" t="inlineStr">
        <is>
          <t>2026-05-18</t>
        </is>
      </c>
      <c r="B2" s="5" t="inlineStr">
        <is>
          <t>511360</t>
        </is>
      </c>
      <c r="C2" s="4" t="inlineStr">
        <is>
          <t>短融ETF</t>
        </is>
      </c>
      <c r="D2" s="91" t="n">
        <v>113.462</v>
      </c>
      <c r="E2" s="83" t="n">
        <v>2200</v>
      </c>
      <c r="F2" s="84" t="n">
        <v>249616.4</v>
      </c>
    </row>
    <row r="3">
      <c r="A3" s="90" t="inlineStr">
        <is>
          <t>2026-05-18</t>
        </is>
      </c>
      <c r="B3" s="5" t="inlineStr">
        <is>
          <t>518880</t>
        </is>
      </c>
      <c r="C3" s="4" t="inlineStr">
        <is>
          <t>华安黄金ETF</t>
        </is>
      </c>
      <c r="D3" s="91" t="n">
        <v>9.497999999999999</v>
      </c>
      <c r="E3" s="83" t="n">
        <v>15800</v>
      </c>
      <c r="F3" s="84" t="n">
        <v>150068.4</v>
      </c>
    </row>
    <row r="4">
      <c r="A4" s="90" t="inlineStr">
        <is>
          <t>2026-05-19</t>
        </is>
      </c>
      <c r="B4" s="5" t="inlineStr">
        <is>
          <t>511010</t>
        </is>
      </c>
      <c r="C4" s="4" t="inlineStr">
        <is>
          <t>五年国债ETF</t>
        </is>
      </c>
      <c r="D4" s="91" t="n">
        <v>141.253</v>
      </c>
      <c r="E4" s="83" t="n">
        <v>800</v>
      </c>
      <c r="F4" s="84" t="n">
        <v>113002.4</v>
      </c>
    </row>
    <row r="5">
      <c r="A5" s="90" t="inlineStr">
        <is>
          <t>2026-05-21</t>
        </is>
      </c>
      <c r="B5" s="5" t="inlineStr">
        <is>
          <t>511260</t>
        </is>
      </c>
      <c r="C5" s="4" t="inlineStr">
        <is>
          <t>十年国债ETF</t>
        </is>
      </c>
      <c r="D5" s="91" t="n">
        <v>135.645</v>
      </c>
      <c r="E5" s="83" t="n">
        <v>3700</v>
      </c>
      <c r="F5" s="84" t="n">
        <v>501886.5</v>
      </c>
    </row>
    <row r="6">
      <c r="A6" s="90" t="inlineStr">
        <is>
          <t>2026-05-21</t>
        </is>
      </c>
      <c r="B6" s="5" t="inlineStr">
        <is>
          <t>510300</t>
        </is>
      </c>
      <c r="C6" s="4" t="inlineStr">
        <is>
          <t>沪深300ETF</t>
        </is>
      </c>
      <c r="D6" s="91" t="n">
        <v>4.942</v>
      </c>
      <c r="E6" s="83" t="n">
        <v>70000</v>
      </c>
      <c r="F6" s="84" t="n">
        <v>345940</v>
      </c>
    </row>
    <row r="7">
      <c r="A7" s="90" t="inlineStr">
        <is>
          <t>2026-05-21</t>
        </is>
      </c>
      <c r="B7" s="5" t="inlineStr">
        <is>
          <t>159915</t>
        </is>
      </c>
      <c r="C7" s="4" t="inlineStr">
        <is>
          <t>创业板ETF</t>
        </is>
      </c>
      <c r="D7" s="91" t="n">
        <v>3.968</v>
      </c>
      <c r="E7" s="83" t="n">
        <v>63000</v>
      </c>
      <c r="F7" s="84" t="n">
        <v>249984</v>
      </c>
    </row>
    <row r="8">
      <c r="A8" s="90" t="inlineStr">
        <is>
          <t>2026-05-21</t>
        </is>
      </c>
      <c r="B8" s="5" t="inlineStr">
        <is>
          <t>510500</t>
        </is>
      </c>
      <c r="C8" s="4" t="inlineStr">
        <is>
          <t>中证500ETF</t>
        </is>
      </c>
      <c r="D8" s="91" t="n">
        <v>8.696</v>
      </c>
      <c r="E8" s="83" t="n">
        <v>4000</v>
      </c>
      <c r="F8" s="84" t="n">
        <v>34784</v>
      </c>
    </row>
    <row r="9">
      <c r="A9" s="90" t="inlineStr">
        <is>
          <t>2026-05-21</t>
        </is>
      </c>
      <c r="B9" s="5" t="inlineStr">
        <is>
          <t>510500</t>
        </is>
      </c>
      <c r="C9" s="4" t="inlineStr">
        <is>
          <t>中证500ETF</t>
        </is>
      </c>
      <c r="D9" s="91" t="n">
        <v>8.696</v>
      </c>
      <c r="E9" s="83" t="n">
        <v>16000</v>
      </c>
      <c r="F9" s="84" t="n">
        <v>139136</v>
      </c>
    </row>
    <row r="10">
      <c r="A10" s="90" t="inlineStr">
        <is>
          <t>2026-05-21</t>
        </is>
      </c>
      <c r="B10" s="5" t="inlineStr">
        <is>
          <t>510300</t>
        </is>
      </c>
      <c r="C10" s="4" t="inlineStr">
        <is>
          <t>沪深300ETF</t>
        </is>
      </c>
      <c r="D10" s="91" t="n">
        <v>4.865</v>
      </c>
      <c r="E10" s="83" t="n">
        <v>40000</v>
      </c>
      <c r="F10" s="84" t="n">
        <v>194600</v>
      </c>
    </row>
    <row r="11">
      <c r="A11" s="90" t="inlineStr">
        <is>
          <t>2026-05-21</t>
        </is>
      </c>
      <c r="B11" s="5" t="inlineStr">
        <is>
          <t>588050</t>
        </is>
      </c>
      <c r="C11" s="4" t="inlineStr">
        <is>
          <t>科创50ETF</t>
        </is>
      </c>
      <c r="D11" s="91" t="n">
        <v>1.838</v>
      </c>
      <c r="E11" s="83" t="n">
        <v>60000</v>
      </c>
      <c r="F11" s="84" t="n">
        <v>110280</v>
      </c>
    </row>
    <row r="12">
      <c r="A12" s="90" t="inlineStr">
        <is>
          <t>2026-05-21</t>
        </is>
      </c>
      <c r="B12" s="5" t="inlineStr">
        <is>
          <t>511010</t>
        </is>
      </c>
      <c r="C12" s="4" t="inlineStr">
        <is>
          <t>五年国债ETF</t>
        </is>
      </c>
      <c r="D12" s="91" t="n">
        <v>141.2</v>
      </c>
      <c r="E12" s="83" t="n">
        <v>2700</v>
      </c>
      <c r="F12" s="84" t="n">
        <v>381240</v>
      </c>
    </row>
    <row r="13">
      <c r="A13" s="92" t="inlineStr">
        <is>
          <t>2026-05-25</t>
        </is>
      </c>
      <c r="B13" s="5" t="n">
        <v>512890</v>
      </c>
      <c r="C13" s="4" t="inlineStr">
        <is>
          <t>华泰柏瑞红利低波ETF</t>
        </is>
      </c>
      <c r="D13" s="91" t="n">
        <v>1.15</v>
      </c>
      <c r="E13" s="83" t="n">
        <v>218000</v>
      </c>
      <c r="F13" s="84" t="n">
        <v>250700</v>
      </c>
    </row>
    <row r="14">
      <c r="A14" s="92" t="inlineStr">
        <is>
          <t>2026-05-26</t>
        </is>
      </c>
      <c r="B14" s="5" t="n">
        <v>518880</v>
      </c>
      <c r="C14" s="4" t="inlineStr">
        <is>
          <t>华安黄金ETF</t>
        </is>
      </c>
      <c r="D14" s="91" t="n">
        <v>9.455</v>
      </c>
      <c r="E14" s="83" t="n">
        <v>8000</v>
      </c>
      <c r="F14" s="84" t="n">
        <v>75640</v>
      </c>
    </row>
    <row r="15">
      <c r="A15" s="90" t="inlineStr">
        <is>
          <t>2026-05-27</t>
        </is>
      </c>
      <c r="B15" s="5" t="n">
        <v>518880</v>
      </c>
      <c r="C15" s="4" t="inlineStr">
        <is>
          <t>华安黄金ETF</t>
        </is>
      </c>
      <c r="D15" s="91" t="n">
        <v>9.385</v>
      </c>
      <c r="E15" s="83" t="n">
        <v>8000</v>
      </c>
      <c r="F15" s="84" t="n">
        <v>75080</v>
      </c>
    </row>
    <row r="16">
      <c r="A16" s="90" t="inlineStr">
        <is>
          <t>2026-05-28</t>
        </is>
      </c>
      <c r="B16" s="5" t="n">
        <v>518880</v>
      </c>
      <c r="C16" s="4" t="inlineStr">
        <is>
          <t>华安黄金ETF</t>
        </is>
      </c>
      <c r="D16" s="91" t="n">
        <v>9.15</v>
      </c>
      <c r="E16" s="83" t="n">
        <v>8000</v>
      </c>
      <c r="F16" s="84" t="n">
        <v>73200</v>
      </c>
    </row>
    <row r="17">
      <c r="A17" s="90" t="inlineStr">
        <is>
          <t>2026-05-28</t>
        </is>
      </c>
      <c r="B17" s="5" t="n">
        <v>511990</v>
      </c>
      <c r="C17" s="4" t="inlineStr">
        <is>
          <t>华宝添益ETF</t>
        </is>
      </c>
      <c r="D17" s="91" t="n">
        <v>99.997</v>
      </c>
      <c r="E17" s="83" t="n">
        <v>2500</v>
      </c>
      <c r="F17" s="84" t="n">
        <v>249992.5</v>
      </c>
    </row>
    <row r="18">
      <c r="A18" s="90" t="inlineStr">
        <is>
          <t>2026-06-05</t>
        </is>
      </c>
      <c r="B18" s="5" t="inlineStr">
        <is>
          <t>511380</t>
        </is>
      </c>
      <c r="C18" s="4" t="inlineStr">
        <is>
          <t>可转债ETF</t>
        </is>
      </c>
      <c r="D18" s="91" t="n">
        <v>13.95</v>
      </c>
      <c r="E18" s="83" t="n">
        <v>7200</v>
      </c>
      <c r="F18" s="84" t="n">
        <v>100440</v>
      </c>
    </row>
    <row r="19">
      <c r="A19" s="90" t="inlineStr">
        <is>
          <t>2026-06-05</t>
        </is>
      </c>
      <c r="B19" s="5" t="inlineStr">
        <is>
          <t>511990</t>
        </is>
      </c>
      <c r="C19" s="4" t="inlineStr">
        <is>
          <t>华宝添益ETF</t>
        </is>
      </c>
      <c r="D19" s="91" t="n">
        <v>100.005</v>
      </c>
      <c r="E19" s="83" t="n">
        <v>-2500</v>
      </c>
      <c r="F19" s="84" t="n">
        <v>-250012.5</v>
      </c>
    </row>
    <row r="20">
      <c r="A20" s="90" t="inlineStr">
        <is>
          <t>2026-06-05</t>
        </is>
      </c>
      <c r="B20" s="5" t="n">
        <v>510300</v>
      </c>
      <c r="C20" s="4" t="inlineStr">
        <is>
          <t>沪深300ETF</t>
        </is>
      </c>
      <c r="D20" s="91" t="n">
        <v>4.85</v>
      </c>
      <c r="E20" s="83" t="n">
        <v>20000</v>
      </c>
      <c r="F20" s="84" t="n">
        <v>97000</v>
      </c>
    </row>
    <row r="21">
      <c r="A21" s="90" t="inlineStr">
        <is>
          <t>2026-06-08</t>
        </is>
      </c>
      <c r="B21" s="5" t="inlineStr">
        <is>
          <t>518880</t>
        </is>
      </c>
      <c r="C21" s="4" t="inlineStr">
        <is>
          <t>华安黄金ETF</t>
        </is>
      </c>
      <c r="D21" s="91" t="n">
        <v>9</v>
      </c>
      <c r="E21" s="83" t="n">
        <v>8000</v>
      </c>
      <c r="F21" s="84" t="n">
        <v>72000</v>
      </c>
    </row>
    <row r="22">
      <c r="A22" s="90" t="inlineStr">
        <is>
          <t>2026-06-08</t>
        </is>
      </c>
      <c r="B22" s="5" t="inlineStr">
        <is>
          <t>510300</t>
        </is>
      </c>
      <c r="C22" s="4" t="inlineStr">
        <is>
          <t>沪深300ETF</t>
        </is>
      </c>
      <c r="D22" s="91" t="n">
        <v>4.78</v>
      </c>
      <c r="E22" s="83" t="n">
        <v>23800</v>
      </c>
      <c r="F22" s="84" t="n">
        <v>113764</v>
      </c>
    </row>
    <row r="23">
      <c r="A23" s="90" t="inlineStr">
        <is>
          <t>2026-06-10</t>
        </is>
      </c>
      <c r="B23" s="5" t="inlineStr">
        <is>
          <t>511380</t>
        </is>
      </c>
      <c r="C23" s="4" t="inlineStr">
        <is>
          <t>可转债ETF</t>
        </is>
      </c>
      <c r="D23" s="91" t="n">
        <v>13.78</v>
      </c>
      <c r="E23" s="83" t="n">
        <v>7300</v>
      </c>
      <c r="F23" s="84" t="n">
        <v>100594</v>
      </c>
    </row>
    <row r="24">
      <c r="A24" s="90" t="inlineStr">
        <is>
          <t>2026-06-12</t>
        </is>
      </c>
      <c r="B24" s="5" t="inlineStr">
        <is>
          <t>518880</t>
        </is>
      </c>
      <c r="C24" s="4" t="inlineStr">
        <is>
          <t>华安黄金ETF</t>
        </is>
      </c>
      <c r="D24" s="91" t="n">
        <v>8.65</v>
      </c>
      <c r="E24" s="83" t="n">
        <v>8000</v>
      </c>
      <c r="F24" s="84" t="n">
        <v>69200</v>
      </c>
    </row>
    <row r="25">
      <c r="A25" s="90" t="inlineStr">
        <is>
          <t>2026-06-22</t>
        </is>
      </c>
      <c r="B25" s="5" t="n">
        <v>510500</v>
      </c>
      <c r="C25" s="4" t="inlineStr">
        <is>
          <t>中证500ETF</t>
        </is>
      </c>
      <c r="D25" s="91" t="n">
        <v>8.776999999999999</v>
      </c>
      <c r="E25" s="83" t="n">
        <v>-20000</v>
      </c>
      <c r="F25" s="84">
        <f>D25*E25</f>
        <v/>
      </c>
    </row>
    <row r="26">
      <c r="A26" s="90" t="inlineStr">
        <is>
          <t>2026-06-25</t>
        </is>
      </c>
      <c r="B26" s="5" t="n">
        <v>518880</v>
      </c>
      <c r="C26" s="4" t="inlineStr">
        <is>
          <t>华安黄金ETF</t>
        </is>
      </c>
      <c r="D26" s="91" t="n">
        <v>8.33</v>
      </c>
      <c r="E26" s="83" t="n">
        <v>8000</v>
      </c>
      <c r="F26" s="84" t="n">
        <v>66640</v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4"/>
  <sheetViews>
    <sheetView topLeftCell="A181" workbookViewId="0">
      <selection activeCell="I5" sqref="I5"/>
    </sheetView>
  </sheetViews>
  <sheetFormatPr baseColWidth="8" defaultColWidth="9" defaultRowHeight="14"/>
  <cols>
    <col width="11.8181818181818" customWidth="1" style="1" min="1" max="1"/>
    <col width="9.54545454545454" customWidth="1" style="1" min="2" max="2"/>
    <col width="10.6363636363636" customWidth="1" style="1" min="3" max="3"/>
    <col width="9.54545454545454" customWidth="1" style="1" min="4" max="4"/>
    <col width="8.54545454545454" customWidth="1" style="1" min="5" max="5"/>
    <col width="9.54545454545454" customWidth="1" style="1" min="6" max="7"/>
    <col width="7.54545454545455" customWidth="1" style="1" min="8" max="8"/>
    <col width="9.54545454545454" customWidth="1" style="1" min="9" max="10"/>
    <col width="8.54545454545454" customWidth="1" style="1" min="11" max="11"/>
    <col width="9.54545454545454" customWidth="1" style="1" min="12" max="13"/>
    <col width="7.54545454545455" customWidth="1" style="1" min="14" max="14"/>
    <col width="9.54545454545454" customWidth="1" style="1" min="15" max="15"/>
  </cols>
  <sheetData>
    <row r="1">
      <c r="A1" s="0" t="inlineStr">
        <is>
          <t>日期</t>
        </is>
      </c>
      <c r="B1" s="0" t="inlineStr">
        <is>
          <t>品种</t>
        </is>
      </c>
      <c r="C1" s="0" t="inlineStr">
        <is>
          <t>代码</t>
        </is>
      </c>
      <c r="D1" s="0" t="inlineStr">
        <is>
          <t>持仓股数</t>
        </is>
      </c>
      <c r="E1" s="0" t="inlineStr">
        <is>
          <t>成本价</t>
        </is>
      </c>
      <c r="F1" s="0" t="inlineStr">
        <is>
          <t>持仓成本</t>
        </is>
      </c>
      <c r="G1" s="0" t="inlineStr">
        <is>
          <t>今日收盘</t>
        </is>
      </c>
      <c r="H1" s="0" t="inlineStr">
        <is>
          <t>涨跌幅</t>
        </is>
      </c>
      <c r="I1" s="0" t="inlineStr">
        <is>
          <t>当前市值</t>
        </is>
      </c>
      <c r="J1" s="0" t="inlineStr">
        <is>
          <t>浮动盈亏</t>
        </is>
      </c>
      <c r="K1" s="0" t="inlineStr">
        <is>
          <t>盈亏%</t>
        </is>
      </c>
      <c r="L1" s="0" t="inlineStr">
        <is>
          <t>目标权重</t>
        </is>
      </c>
      <c r="M1" s="0" t="inlineStr">
        <is>
          <t>实际权重</t>
        </is>
      </c>
      <c r="N1" s="0" t="inlineStr">
        <is>
          <t>偏离</t>
        </is>
      </c>
      <c r="O1" s="0" t="inlineStr">
        <is>
          <t>触发信号</t>
        </is>
      </c>
    </row>
    <row r="2">
      <c r="A2" s="0" t="inlineStr">
        <is>
          <t>2026-05-19</t>
        </is>
      </c>
      <c r="B2" s="0" t="inlineStr">
        <is>
          <t>五年国债</t>
        </is>
      </c>
      <c r="C2" s="0" t="inlineStr">
        <is>
          <t>511010.SH</t>
        </is>
      </c>
      <c r="D2" s="0" t="n">
        <v>800</v>
      </c>
      <c r="E2" s="0" t="n">
        <v>141.253</v>
      </c>
      <c r="F2" s="0" t="n">
        <v>113002.4</v>
      </c>
      <c r="G2" s="0" t="n">
        <v>141.247</v>
      </c>
      <c r="H2" s="0" t="inlineStr">
        <is>
          <t>+0.09%</t>
        </is>
      </c>
      <c r="I2" s="0" t="n">
        <v>53</v>
      </c>
      <c r="J2" s="0" t="n">
        <v>112997.6</v>
      </c>
      <c r="K2" s="0" t="n">
        <v>-4.8</v>
      </c>
      <c r="L2" s="0" t="inlineStr">
        <is>
          <t>-0.00%</t>
        </is>
      </c>
      <c r="M2" s="0" t="inlineStr">
        <is>
          <t>10%</t>
        </is>
      </c>
      <c r="N2" s="0" t="inlineStr">
        <is>
          <t>2.26%</t>
        </is>
      </c>
      <c r="O2" s="0" t="inlineStr">
        <is>
          <t>-7.7%</t>
        </is>
      </c>
      <c r="P2" s="0" t="inlineStr">
        <is>
          <t>—</t>
        </is>
      </c>
      <c r="Q2" s="0" t="inlineStr">
        <is>
          <t>—</t>
        </is>
      </c>
    </row>
    <row r="3">
      <c r="A3" s="0" t="inlineStr">
        <is>
          <t>2026-05-19</t>
        </is>
      </c>
      <c r="B3" s="0" t="inlineStr">
        <is>
          <t>短融</t>
        </is>
      </c>
      <c r="C3" s="0" t="inlineStr">
        <is>
          <t>511360.SH</t>
        </is>
      </c>
      <c r="D3" s="0" t="n">
        <v>2200</v>
      </c>
      <c r="E3" s="0" t="n">
        <v>113.462</v>
      </c>
      <c r="F3" s="0" t="n">
        <v>249616.4</v>
      </c>
      <c r="G3" s="0" t="n">
        <v>113.471</v>
      </c>
      <c r="H3" s="0" t="inlineStr">
        <is>
          <t>+0.01%</t>
        </is>
      </c>
      <c r="I3" s="0" t="n">
        <v>1609</v>
      </c>
      <c r="J3" s="0" t="n">
        <v>249636.2</v>
      </c>
      <c r="K3" s="0" t="n">
        <v>19.8</v>
      </c>
      <c r="L3" s="0" t="inlineStr">
        <is>
          <t>0.01%</t>
        </is>
      </c>
      <c r="M3" s="0" t="inlineStr">
        <is>
          <t>5%</t>
        </is>
      </c>
      <c r="N3" s="0" t="inlineStr">
        <is>
          <t>4.99%</t>
        </is>
      </c>
      <c r="O3" s="0" t="inlineStr">
        <is>
          <t>-0.0%</t>
        </is>
      </c>
      <c r="P3" s="0" t="inlineStr">
        <is>
          <t>—</t>
        </is>
      </c>
      <c r="Q3" s="0" t="inlineStr">
        <is>
          <t>—</t>
        </is>
      </c>
    </row>
    <row r="4">
      <c r="A4" s="0" t="inlineStr">
        <is>
          <t>2026-05-19</t>
        </is>
      </c>
      <c r="B4" s="0" t="inlineStr">
        <is>
          <t>黄金</t>
        </is>
      </c>
      <c r="C4" s="0" t="inlineStr">
        <is>
          <t>518880.SH</t>
        </is>
      </c>
      <c r="D4" s="0" t="n">
        <v>15800</v>
      </c>
      <c r="E4" s="0" t="n">
        <v>9.497999999999999</v>
      </c>
      <c r="F4" s="0" t="n">
        <v>150068.4</v>
      </c>
      <c r="G4" s="0" t="n">
        <v>9.515000000000001</v>
      </c>
      <c r="H4" s="0" t="inlineStr">
        <is>
          <t>+0.02%</t>
        </is>
      </c>
      <c r="I4" s="0" t="n">
        <v>252</v>
      </c>
      <c r="J4" s="0" t="n">
        <v>150337</v>
      </c>
      <c r="K4" s="0" t="n">
        <v>268.6</v>
      </c>
      <c r="L4" s="0" t="inlineStr">
        <is>
          <t>0.18%</t>
        </is>
      </c>
      <c r="M4" s="0" t="inlineStr">
        <is>
          <t>15%</t>
        </is>
      </c>
      <c r="N4" s="0" t="inlineStr">
        <is>
          <t>3.01%</t>
        </is>
      </c>
      <c r="O4" s="0" t="inlineStr">
        <is>
          <t>-12.0%</t>
        </is>
      </c>
      <c r="P4" s="0" t="inlineStr">
        <is>
          <t>—</t>
        </is>
      </c>
      <c r="Q4" s="0" t="inlineStr">
        <is>
          <t>—</t>
        </is>
      </c>
    </row>
    <row r="5">
      <c r="A5" s="0" t="inlineStr">
        <is>
          <t>2026-05-20</t>
        </is>
      </c>
      <c r="B5" s="0" t="inlineStr">
        <is>
          <t>五年国债</t>
        </is>
      </c>
      <c r="C5" s="0" t="inlineStr">
        <is>
          <t>511010.SH</t>
        </is>
      </c>
      <c r="D5" s="0" t="n">
        <v>800</v>
      </c>
      <c r="E5" s="0" t="n">
        <v>141.253</v>
      </c>
      <c r="F5" s="0" t="n">
        <v>494242.35</v>
      </c>
      <c r="G5" s="0" t="n">
        <v>141.278</v>
      </c>
      <c r="H5" s="0" t="inlineStr">
        <is>
          <t>+0.02%</t>
        </is>
      </c>
      <c r="I5" s="0" t="n">
        <v>21</v>
      </c>
      <c r="J5" s="0" t="n">
        <v>494473</v>
      </c>
      <c r="K5" s="0" t="n">
        <v>230.65</v>
      </c>
      <c r="L5" s="0" t="inlineStr">
        <is>
          <t>0.05%</t>
        </is>
      </c>
      <c r="M5" s="0" t="inlineStr">
        <is>
          <t>10%</t>
        </is>
      </c>
      <c r="N5" s="0" t="inlineStr">
        <is>
          <t>10.42%</t>
        </is>
      </c>
      <c r="O5" s="0" t="inlineStr">
        <is>
          <t>+0.4%</t>
        </is>
      </c>
      <c r="P5" s="0" t="inlineStr">
        <is>
          <t>—</t>
        </is>
      </c>
      <c r="Q5" s="0" t="inlineStr">
        <is>
          <t>—</t>
        </is>
      </c>
    </row>
    <row r="6">
      <c r="A6" s="0" t="inlineStr">
        <is>
          <t>2026-05-20</t>
        </is>
      </c>
      <c r="B6" s="0" t="inlineStr">
        <is>
          <t>短融</t>
        </is>
      </c>
      <c r="C6" s="0" t="inlineStr">
        <is>
          <t>511360.SH</t>
        </is>
      </c>
      <c r="D6" s="0" t="n">
        <v>2200</v>
      </c>
      <c r="E6" s="0" t="n">
        <v>113.462</v>
      </c>
      <c r="F6" s="0" t="n">
        <v>249616.4</v>
      </c>
      <c r="G6" s="0" t="n">
        <v>113.483</v>
      </c>
      <c r="H6" s="0" t="inlineStr">
        <is>
          <t>+0.01%</t>
        </is>
      </c>
      <c r="I6" s="0" t="n">
        <v>1301</v>
      </c>
      <c r="J6" s="0" t="n">
        <v>249662.6</v>
      </c>
      <c r="K6" s="0" t="n">
        <v>46.2</v>
      </c>
      <c r="L6" s="0" t="inlineStr">
        <is>
          <t>0.02%</t>
        </is>
      </c>
      <c r="M6" s="0" t="inlineStr">
        <is>
          <t>5%</t>
        </is>
      </c>
      <c r="N6" s="0" t="inlineStr">
        <is>
          <t>5.26%</t>
        </is>
      </c>
      <c r="O6" s="0" t="inlineStr">
        <is>
          <t>+0.3%</t>
        </is>
      </c>
      <c r="P6" s="0" t="inlineStr">
        <is>
          <t>—</t>
        </is>
      </c>
      <c r="Q6" s="0" t="inlineStr">
        <is>
          <t>—</t>
        </is>
      </c>
    </row>
    <row r="7">
      <c r="A7" s="0" t="inlineStr">
        <is>
          <t>2026-05-20</t>
        </is>
      </c>
      <c r="B7" s="0" t="inlineStr">
        <is>
          <t>黄金</t>
        </is>
      </c>
      <c r="C7" s="0" t="inlineStr">
        <is>
          <t>518880.SH</t>
        </is>
      </c>
      <c r="D7" s="0" t="n">
        <v>15800</v>
      </c>
      <c r="E7" s="0" t="n">
        <v>9.497999999999999</v>
      </c>
      <c r="F7" s="0" t="n">
        <v>150068.4</v>
      </c>
      <c r="G7" s="0" t="n">
        <v>9.367000000000001</v>
      </c>
      <c r="H7" s="0" t="inlineStr">
        <is>
          <t>-1.56%</t>
        </is>
      </c>
      <c r="I7" s="0" t="n">
        <v>511</v>
      </c>
      <c r="J7" s="0" t="n">
        <v>147998.6</v>
      </c>
      <c r="K7" s="0" t="n">
        <v>-2069.8</v>
      </c>
      <c r="L7" s="0" t="inlineStr">
        <is>
          <t>-1.38%</t>
        </is>
      </c>
      <c r="M7" s="0" t="inlineStr">
        <is>
          <t>15%</t>
        </is>
      </c>
      <c r="N7" s="0" t="inlineStr">
        <is>
          <t>3.12%</t>
        </is>
      </c>
      <c r="O7" s="0" t="inlineStr">
        <is>
          <t>-11.9%</t>
        </is>
      </c>
      <c r="P7" s="0" t="inlineStr">
        <is>
          <t>—</t>
        </is>
      </c>
      <c r="Q7" s="0" t="inlineStr">
        <is>
          <t>—</t>
        </is>
      </c>
    </row>
    <row r="8">
      <c r="A8" s="0" t="inlineStr">
        <is>
          <t>2026-05-21</t>
        </is>
      </c>
      <c r="B8" s="0" t="inlineStr">
        <is>
          <t>沪深300</t>
        </is>
      </c>
      <c r="C8" s="0" t="inlineStr">
        <is>
          <t>510300.SH</t>
        </is>
      </c>
      <c r="D8" s="0" t="n">
        <v>110000</v>
      </c>
      <c r="E8" s="0" t="n">
        <v>4.914</v>
      </c>
      <c r="F8" s="0" t="n">
        <v>540540</v>
      </c>
      <c r="G8" s="0" t="n">
        <v>4.808</v>
      </c>
      <c r="H8" s="0" t="inlineStr">
        <is>
          <t>-1.29%</t>
        </is>
      </c>
      <c r="I8" s="0" t="n">
        <v>591</v>
      </c>
      <c r="J8" s="0" t="n">
        <v>528880</v>
      </c>
      <c r="K8" s="0" t="n">
        <v>-11660</v>
      </c>
      <c r="L8" s="0" t="inlineStr">
        <is>
          <t>-2.16%</t>
        </is>
      </c>
      <c r="M8" s="0" t="inlineStr">
        <is>
          <t>15%</t>
        </is>
      </c>
      <c r="N8" s="0" t="inlineStr">
        <is>
          <t>10.63%</t>
        </is>
      </c>
      <c r="O8" s="0" t="inlineStr">
        <is>
          <t>-4.4%</t>
        </is>
      </c>
      <c r="P8" s="0" t="inlineStr">
        <is>
          <t>—</t>
        </is>
      </c>
      <c r="Q8" s="0" t="inlineStr">
        <is>
          <t>—</t>
        </is>
      </c>
    </row>
    <row r="9">
      <c r="A9" s="0" t="inlineStr">
        <is>
          <t>2026-05-21</t>
        </is>
      </c>
      <c r="B9" s="0" t="inlineStr">
        <is>
          <t>中证500</t>
        </is>
      </c>
      <c r="C9" s="0" t="inlineStr">
        <is>
          <t>510500.SH</t>
        </is>
      </c>
      <c r="D9" s="0" t="n">
        <v>20000</v>
      </c>
      <c r="E9" s="0" t="n">
        <v>8.696</v>
      </c>
      <c r="F9" s="0" t="n">
        <v>173920</v>
      </c>
      <c r="G9" s="0" t="n">
        <v>8.503</v>
      </c>
      <c r="H9" s="0" t="inlineStr">
        <is>
          <t>-2.80%</t>
        </is>
      </c>
      <c r="I9" s="0" t="n">
        <v>467</v>
      </c>
      <c r="J9" s="0" t="n">
        <v>170060</v>
      </c>
      <c r="K9" s="0" t="n">
        <v>-3860</v>
      </c>
      <c r="L9" s="0" t="inlineStr">
        <is>
          <t>-2.22%</t>
        </is>
      </c>
      <c r="M9" s="0" t="inlineStr">
        <is>
          <t>10%</t>
        </is>
      </c>
      <c r="N9" s="0" t="inlineStr">
        <is>
          <t>3.42%</t>
        </is>
      </c>
      <c r="O9" s="0" t="inlineStr">
        <is>
          <t>-6.6%</t>
        </is>
      </c>
      <c r="P9" s="0" t="inlineStr">
        <is>
          <t>—</t>
        </is>
      </c>
      <c r="Q9" s="0" t="inlineStr">
        <is>
          <t>—</t>
        </is>
      </c>
    </row>
    <row r="10">
      <c r="A10" s="0" t="inlineStr">
        <is>
          <t>2026-05-21</t>
        </is>
      </c>
      <c r="B10" s="0" t="inlineStr">
        <is>
          <t>科创50</t>
        </is>
      </c>
      <c r="C10" s="0" t="inlineStr">
        <is>
          <t>588050.SH</t>
        </is>
      </c>
      <c r="D10" s="0" t="n">
        <v>60000</v>
      </c>
      <c r="E10" s="0" t="n">
        <v>1.838</v>
      </c>
      <c r="F10" s="0" t="n">
        <v>110280</v>
      </c>
      <c r="G10" s="0" t="n">
        <v>1.811</v>
      </c>
      <c r="H10" s="0" t="inlineStr">
        <is>
          <t>-3.67%</t>
        </is>
      </c>
      <c r="I10" s="0" t="n">
        <v>75</v>
      </c>
      <c r="J10" s="0" t="n">
        <v>108660</v>
      </c>
      <c r="K10" s="0" t="n">
        <v>-1620</v>
      </c>
      <c r="L10" s="0" t="inlineStr">
        <is>
          <t>-1.47%</t>
        </is>
      </c>
      <c r="M10" s="0" t="inlineStr">
        <is>
          <t>5%</t>
        </is>
      </c>
      <c r="N10" s="0" t="inlineStr">
        <is>
          <t>2.18%</t>
        </is>
      </c>
      <c r="O10" s="0" t="inlineStr">
        <is>
          <t>-2.8%</t>
        </is>
      </c>
      <c r="P10" s="0" t="inlineStr">
        <is>
          <t>—</t>
        </is>
      </c>
      <c r="Q10" s="0" t="inlineStr">
        <is>
          <t>—</t>
        </is>
      </c>
    </row>
    <row r="11">
      <c r="A11" s="0" t="inlineStr">
        <is>
          <t>2026-05-21</t>
        </is>
      </c>
      <c r="B11" s="0" t="inlineStr">
        <is>
          <t>创业板</t>
        </is>
      </c>
      <c r="C11" s="0" t="inlineStr">
        <is>
          <t>159915.SZ</t>
        </is>
      </c>
      <c r="D11" s="0" t="n">
        <v>63000</v>
      </c>
      <c r="E11" s="0" t="n">
        <v>3.968</v>
      </c>
      <c r="F11" s="0" t="n">
        <v>249984</v>
      </c>
      <c r="G11" s="0" t="n">
        <v>3.846</v>
      </c>
      <c r="H11" s="0" t="inlineStr">
        <is>
          <t>-2.19%</t>
        </is>
      </c>
      <c r="I11" s="0" t="n">
        <v>722</v>
      </c>
      <c r="J11" s="0" t="n">
        <v>242298</v>
      </c>
      <c r="K11" s="0" t="n">
        <v>-7686</v>
      </c>
      <c r="L11" s="0" t="inlineStr">
        <is>
          <t>-3.07%</t>
        </is>
      </c>
      <c r="M11" s="0" t="inlineStr">
        <is>
          <t>5%</t>
        </is>
      </c>
      <c r="N11" s="0" t="inlineStr">
        <is>
          <t>4.87%</t>
        </is>
      </c>
      <c r="O11" s="0" t="inlineStr">
        <is>
          <t>-0.1%</t>
        </is>
      </c>
      <c r="P11" s="0" t="inlineStr">
        <is>
          <t>—</t>
        </is>
      </c>
      <c r="Q11" s="0" t="inlineStr">
        <is>
          <t>—</t>
        </is>
      </c>
    </row>
    <row r="12">
      <c r="A12" s="0" t="inlineStr">
        <is>
          <t>2026-05-21</t>
        </is>
      </c>
      <c r="B12" s="0" t="inlineStr">
        <is>
          <t>十年国债</t>
        </is>
      </c>
      <c r="C12" s="0" t="inlineStr">
        <is>
          <t>511260.SH</t>
        </is>
      </c>
      <c r="D12" s="0" t="n">
        <v>3700</v>
      </c>
      <c r="E12" s="0" t="n">
        <v>135.645</v>
      </c>
      <c r="F12" s="0" t="n">
        <v>501886.5</v>
      </c>
      <c r="G12" s="0" t="n">
        <v>135.522</v>
      </c>
      <c r="H12" s="0" t="inlineStr">
        <is>
          <t>-0.09%</t>
        </is>
      </c>
      <c r="I12" s="0" t="n">
        <v>277</v>
      </c>
      <c r="J12" s="0" t="n">
        <v>501431.4</v>
      </c>
      <c r="K12" s="0" t="n">
        <v>-455.1</v>
      </c>
      <c r="L12" s="0" t="inlineStr">
        <is>
          <t>-0.09%</t>
        </is>
      </c>
      <c r="M12" s="0" t="inlineStr">
        <is>
          <t>10%</t>
        </is>
      </c>
      <c r="N12" s="0" t="inlineStr">
        <is>
          <t>10.08%</t>
        </is>
      </c>
      <c r="O12" s="0" t="inlineStr">
        <is>
          <t>+0.1%</t>
        </is>
      </c>
      <c r="P12" s="0" t="inlineStr">
        <is>
          <t>—</t>
        </is>
      </c>
      <c r="Q12" s="0" t="inlineStr">
        <is>
          <t>—</t>
        </is>
      </c>
    </row>
    <row r="13">
      <c r="A13" s="0" t="inlineStr">
        <is>
          <t>2026-05-21</t>
        </is>
      </c>
      <c r="B13" s="0" t="inlineStr">
        <is>
          <t>五年国债</t>
        </is>
      </c>
      <c r="C13" s="0" t="inlineStr">
        <is>
          <t>511010.SH</t>
        </is>
      </c>
      <c r="D13" s="0" t="n">
        <v>3500</v>
      </c>
      <c r="E13" s="0" t="n">
        <v>141.2121</v>
      </c>
      <c r="F13" s="0" t="n">
        <v>494242.35</v>
      </c>
      <c r="G13" s="0" t="n">
        <v>141.191</v>
      </c>
      <c r="H13" s="0" t="inlineStr">
        <is>
          <t>-0.06%</t>
        </is>
      </c>
      <c r="I13" s="0" t="n">
        <v>28</v>
      </c>
      <c r="J13" s="0" t="n">
        <v>494168.5</v>
      </c>
      <c r="K13" s="0" t="n">
        <v>-73.84999999999999</v>
      </c>
      <c r="L13" s="0" t="inlineStr">
        <is>
          <t>-0.01%</t>
        </is>
      </c>
      <c r="M13" s="0" t="inlineStr">
        <is>
          <t>10%</t>
        </is>
      </c>
      <c r="N13" s="0" t="inlineStr">
        <is>
          <t>9.94%</t>
        </is>
      </c>
      <c r="O13" s="0" t="inlineStr">
        <is>
          <t>-0.1%</t>
        </is>
      </c>
      <c r="P13" s="0" t="inlineStr">
        <is>
          <t>—</t>
        </is>
      </c>
      <c r="Q13" s="0" t="inlineStr">
        <is>
          <t>—</t>
        </is>
      </c>
    </row>
    <row r="14">
      <c r="A14" s="0" t="inlineStr">
        <is>
          <t>2026-05-21</t>
        </is>
      </c>
      <c r="B14" s="0" t="inlineStr">
        <is>
          <t>短融</t>
        </is>
      </c>
      <c r="C14" s="0" t="inlineStr">
        <is>
          <t>511360.SH</t>
        </is>
      </c>
      <c r="D14" s="0" t="n">
        <v>2200</v>
      </c>
      <c r="E14" s="0" t="n">
        <v>113.462</v>
      </c>
      <c r="F14" s="0" t="n">
        <v>249616.4</v>
      </c>
      <c r="G14" s="0" t="n">
        <v>113.49</v>
      </c>
      <c r="H14" s="0" t="inlineStr">
        <is>
          <t>+0.01%</t>
        </is>
      </c>
      <c r="I14" s="0" t="n">
        <v>1156</v>
      </c>
      <c r="J14" s="0" t="n">
        <v>249678</v>
      </c>
      <c r="K14" s="0" t="n">
        <v>61.6</v>
      </c>
      <c r="L14" s="0" t="inlineStr">
        <is>
          <t>0.02%</t>
        </is>
      </c>
      <c r="M14" s="0" t="inlineStr">
        <is>
          <t>5%</t>
        </is>
      </c>
      <c r="N14" s="0" t="inlineStr">
        <is>
          <t>5.02%</t>
        </is>
      </c>
      <c r="O14" s="0" t="inlineStr">
        <is>
          <t>+0.0%</t>
        </is>
      </c>
      <c r="P14" s="0" t="inlineStr">
        <is>
          <t>—</t>
        </is>
      </c>
      <c r="Q14" s="0" t="inlineStr">
        <is>
          <t>—</t>
        </is>
      </c>
    </row>
    <row r="15">
      <c r="A15" s="0" t="inlineStr">
        <is>
          <t>2026-05-21</t>
        </is>
      </c>
      <c r="B15" s="0" t="inlineStr">
        <is>
          <t>黄金</t>
        </is>
      </c>
      <c r="C15" s="0" t="inlineStr">
        <is>
          <t>518880.SH</t>
        </is>
      </c>
      <c r="D15" s="0" t="n">
        <v>15800</v>
      </c>
      <c r="E15" s="0" t="n">
        <v>9.497999999999999</v>
      </c>
      <c r="F15" s="0" t="n">
        <v>150068.4</v>
      </c>
      <c r="G15" s="0" t="n">
        <v>9.449999999999999</v>
      </c>
      <c r="H15" s="0" t="inlineStr">
        <is>
          <t>+0.89%</t>
        </is>
      </c>
      <c r="I15" s="0" t="n">
        <v>321</v>
      </c>
      <c r="J15" s="0" t="n">
        <v>149310</v>
      </c>
      <c r="K15" s="0" t="n">
        <v>-758.4</v>
      </c>
      <c r="L15" s="0" t="inlineStr">
        <is>
          <t>-0.51%</t>
        </is>
      </c>
      <c r="M15" s="0" t="inlineStr">
        <is>
          <t>15%</t>
        </is>
      </c>
      <c r="N15" s="0" t="inlineStr">
        <is>
          <t>3.00%</t>
        </is>
      </c>
      <c r="O15" s="0" t="inlineStr">
        <is>
          <t>-12.0%</t>
        </is>
      </c>
      <c r="P15" s="0" t="inlineStr">
        <is>
          <t>—</t>
        </is>
      </c>
      <c r="Q15" s="0" t="inlineStr">
        <is>
          <t>—</t>
        </is>
      </c>
    </row>
    <row r="16">
      <c r="A16" s="0" t="inlineStr">
        <is>
          <t>2026-05-22</t>
        </is>
      </c>
      <c r="B16" s="0" t="inlineStr">
        <is>
          <t>沪深300</t>
        </is>
      </c>
      <c r="C16" s="0" t="inlineStr">
        <is>
          <t>510300.SH</t>
        </is>
      </c>
      <c r="D16" s="0" t="n">
        <v>110000</v>
      </c>
      <c r="E16" s="0" t="n">
        <v>4.914</v>
      </c>
      <c r="F16" s="0" t="n">
        <v>540540</v>
      </c>
      <c r="G16" s="0" t="n">
        <v>4.862</v>
      </c>
      <c r="H16" s="0" t="inlineStr">
        <is>
          <t>+1.12%</t>
        </is>
      </c>
      <c r="I16" s="0" t="n">
        <v>642</v>
      </c>
      <c r="J16" s="0" t="n">
        <v>534820</v>
      </c>
      <c r="K16" s="0" t="n">
        <v>-5720</v>
      </c>
      <c r="L16" s="0" t="inlineStr">
        <is>
          <t>-1.06%</t>
        </is>
      </c>
      <c r="M16" s="0" t="inlineStr">
        <is>
          <t>15%</t>
        </is>
      </c>
      <c r="N16" s="0" t="inlineStr">
        <is>
          <t>10.72%</t>
        </is>
      </c>
      <c r="O16" s="0" t="inlineStr">
        <is>
          <t>-4.3%</t>
        </is>
      </c>
      <c r="P16" s="0" t="inlineStr">
        <is>
          <t>—</t>
        </is>
      </c>
      <c r="Q16" s="0" t="inlineStr">
        <is>
          <t>—</t>
        </is>
      </c>
    </row>
    <row r="17">
      <c r="A17" s="0" t="inlineStr">
        <is>
          <t>2026-05-22</t>
        </is>
      </c>
      <c r="B17" s="0" t="inlineStr">
        <is>
          <t>中证500</t>
        </is>
      </c>
      <c r="C17" s="0" t="inlineStr">
        <is>
          <t>510500.SH</t>
        </is>
      </c>
      <c r="D17" s="0" t="n">
        <v>20000</v>
      </c>
      <c r="E17" s="0" t="n">
        <v>8.696</v>
      </c>
      <c r="F17" s="0" t="n">
        <v>173920</v>
      </c>
      <c r="G17" s="0" t="n">
        <v>8.657999999999999</v>
      </c>
      <c r="H17" s="0" t="inlineStr">
        <is>
          <t>+1.82%</t>
        </is>
      </c>
      <c r="I17" s="0" t="n">
        <v>682</v>
      </c>
      <c r="J17" s="0" t="n">
        <v>173160</v>
      </c>
      <c r="K17" s="0" t="n">
        <v>-760</v>
      </c>
      <c r="L17" s="0" t="inlineStr">
        <is>
          <t>-0.44%</t>
        </is>
      </c>
      <c r="M17" s="0" t="inlineStr">
        <is>
          <t>10%</t>
        </is>
      </c>
      <c r="N17" s="0" t="inlineStr">
        <is>
          <t>3.47%</t>
        </is>
      </c>
      <c r="O17" s="0" t="inlineStr">
        <is>
          <t>-6.5%</t>
        </is>
      </c>
      <c r="P17" s="0" t="inlineStr">
        <is>
          <t>—</t>
        </is>
      </c>
      <c r="Q17" s="0" t="inlineStr">
        <is>
          <t>—</t>
        </is>
      </c>
    </row>
    <row r="18">
      <c r="A18" s="0" t="inlineStr">
        <is>
          <t>2026-05-22</t>
        </is>
      </c>
      <c r="B18" s="0" t="inlineStr">
        <is>
          <t>科创50</t>
        </is>
      </c>
      <c r="C18" s="0" t="inlineStr">
        <is>
          <t>588050.SH</t>
        </is>
      </c>
      <c r="D18" s="0" t="n">
        <v>60000</v>
      </c>
      <c r="E18" s="0" t="n">
        <v>1.838</v>
      </c>
      <c r="F18" s="0" t="n">
        <v>110280</v>
      </c>
      <c r="G18" s="0" t="n">
        <v>1.838</v>
      </c>
      <c r="H18" s="0" t="inlineStr">
        <is>
          <t>+1.49%</t>
        </is>
      </c>
      <c r="I18" s="0" t="n">
        <v>92</v>
      </c>
      <c r="J18" s="0" t="n">
        <v>110280</v>
      </c>
      <c r="K18" s="0" t="n">
        <v>0</v>
      </c>
      <c r="L18" s="0" t="inlineStr">
        <is>
          <t>0.00%</t>
        </is>
      </c>
      <c r="M18" s="0" t="inlineStr">
        <is>
          <t>5%</t>
        </is>
      </c>
      <c r="N18" s="0" t="inlineStr">
        <is>
          <t>2.21%</t>
        </is>
      </c>
      <c r="O18" s="0" t="inlineStr">
        <is>
          <t>-2.8%</t>
        </is>
      </c>
      <c r="P18" s="0" t="inlineStr">
        <is>
          <t>—</t>
        </is>
      </c>
      <c r="Q18" s="0" t="inlineStr">
        <is>
          <t>—</t>
        </is>
      </c>
    </row>
    <row r="19">
      <c r="A19" s="0" t="inlineStr">
        <is>
          <t>2026-05-22</t>
        </is>
      </c>
      <c r="B19" s="0" t="inlineStr">
        <is>
          <t>创业板</t>
        </is>
      </c>
      <c r="C19" s="0" t="inlineStr">
        <is>
          <t>159915.SZ</t>
        </is>
      </c>
      <c r="D19" s="0" t="n">
        <v>63000</v>
      </c>
      <c r="E19" s="0" t="n">
        <v>3.968</v>
      </c>
      <c r="F19" s="0" t="n">
        <v>249984</v>
      </c>
      <c r="G19" s="0" t="n">
        <v>3.946</v>
      </c>
      <c r="H19" s="0" t="inlineStr">
        <is>
          <t>+2.60%</t>
        </is>
      </c>
      <c r="I19" s="0" t="n">
        <v>566</v>
      </c>
      <c r="J19" s="0" t="n">
        <v>248598</v>
      </c>
      <c r="K19" s="0" t="n">
        <v>-1386</v>
      </c>
      <c r="L19" s="0" t="inlineStr">
        <is>
          <t>-0.55%</t>
        </is>
      </c>
      <c r="M19" s="0" t="inlineStr">
        <is>
          <t>5%</t>
        </is>
      </c>
      <c r="N19" s="0" t="inlineStr">
        <is>
          <t>4.98%</t>
        </is>
      </c>
      <c r="O19" s="0" t="inlineStr">
        <is>
          <t>-0.0%</t>
        </is>
      </c>
      <c r="P19" s="0" t="inlineStr">
        <is>
          <t>—</t>
        </is>
      </c>
      <c r="Q19" s="0" t="inlineStr">
        <is>
          <t>—</t>
        </is>
      </c>
    </row>
    <row r="20">
      <c r="A20" s="0" t="inlineStr">
        <is>
          <t>2026-05-22</t>
        </is>
      </c>
      <c r="B20" s="0" t="inlineStr">
        <is>
          <t>十年国债</t>
        </is>
      </c>
      <c r="C20" s="0" t="inlineStr">
        <is>
          <t>511260.SH</t>
        </is>
      </c>
      <c r="D20" s="0" t="n">
        <v>3700</v>
      </c>
      <c r="E20" s="0" t="n">
        <v>135.645</v>
      </c>
      <c r="F20" s="0" t="n">
        <v>501886.5</v>
      </c>
      <c r="G20" s="0" t="n">
        <v>135.475</v>
      </c>
      <c r="H20" s="0" t="inlineStr">
        <is>
          <t>-0.03%</t>
        </is>
      </c>
      <c r="I20" s="0" t="n">
        <v>623</v>
      </c>
      <c r="J20" s="0" t="n">
        <v>501257.5</v>
      </c>
      <c r="K20" s="0" t="n">
        <v>-629</v>
      </c>
      <c r="L20" s="0" t="inlineStr">
        <is>
          <t>-0.13%</t>
        </is>
      </c>
      <c r="M20" s="0" t="inlineStr">
        <is>
          <t>10%</t>
        </is>
      </c>
      <c r="N20" s="0" t="inlineStr">
        <is>
          <t>10.04%</t>
        </is>
      </c>
      <c r="O20" s="0" t="inlineStr">
        <is>
          <t>+0.0%</t>
        </is>
      </c>
      <c r="P20" s="0" t="inlineStr">
        <is>
          <t>—</t>
        </is>
      </c>
      <c r="Q20" s="0" t="inlineStr">
        <is>
          <t>—</t>
        </is>
      </c>
    </row>
    <row r="21">
      <c r="A21" s="0" t="inlineStr">
        <is>
          <t>2026-05-22</t>
        </is>
      </c>
      <c r="B21" s="0" t="inlineStr">
        <is>
          <t>五年国债</t>
        </is>
      </c>
      <c r="C21" s="0" t="inlineStr">
        <is>
          <t>511010.SH</t>
        </is>
      </c>
      <c r="D21" s="0" t="n">
        <v>3500</v>
      </c>
      <c r="E21" s="0" t="n">
        <v>141.2121</v>
      </c>
      <c r="F21" s="0" t="n">
        <v>494242.35</v>
      </c>
      <c r="G21" s="0" t="n">
        <v>141.204</v>
      </c>
      <c r="H21" s="0" t="inlineStr">
        <is>
          <t>+0.01%</t>
        </is>
      </c>
      <c r="I21" s="0" t="n">
        <v>15</v>
      </c>
      <c r="J21" s="0" t="n">
        <v>494214</v>
      </c>
      <c r="K21" s="0" t="n">
        <v>-28.35</v>
      </c>
      <c r="L21" s="0" t="inlineStr">
        <is>
          <t>-0.01%</t>
        </is>
      </c>
      <c r="M21" s="0" t="inlineStr">
        <is>
          <t>10%</t>
        </is>
      </c>
      <c r="N21" s="0" t="inlineStr">
        <is>
          <t>9.90%</t>
        </is>
      </c>
      <c r="O21" s="0" t="inlineStr">
        <is>
          <t>-0.1%</t>
        </is>
      </c>
      <c r="P21" s="0" t="inlineStr">
        <is>
          <t>—</t>
        </is>
      </c>
      <c r="Q21" s="0" t="inlineStr">
        <is>
          <t>—</t>
        </is>
      </c>
    </row>
    <row r="22">
      <c r="A22" s="0" t="inlineStr">
        <is>
          <t>2026-05-22</t>
        </is>
      </c>
      <c r="B22" s="0" t="inlineStr">
        <is>
          <t>短融</t>
        </is>
      </c>
      <c r="C22" s="0" t="inlineStr">
        <is>
          <t>511360.SH</t>
        </is>
      </c>
      <c r="D22" s="0" t="n">
        <v>2200</v>
      </c>
      <c r="E22" s="0" t="n">
        <v>113.462</v>
      </c>
      <c r="F22" s="0" t="n">
        <v>249616.4</v>
      </c>
      <c r="G22" s="0" t="n">
        <v>113.499</v>
      </c>
      <c r="H22" s="0" t="inlineStr">
        <is>
          <t>+0.01%</t>
        </is>
      </c>
      <c r="I22" s="0" t="n">
        <v>1312</v>
      </c>
      <c r="J22" s="0" t="n">
        <v>249697.8</v>
      </c>
      <c r="K22" s="0" t="n">
        <v>81.40000000000001</v>
      </c>
      <c r="L22" s="0" t="inlineStr">
        <is>
          <t>0.03%</t>
        </is>
      </c>
      <c r="M22" s="0" t="inlineStr">
        <is>
          <t>5%</t>
        </is>
      </c>
      <c r="N22" s="0" t="inlineStr">
        <is>
          <t>5.00%</t>
        </is>
      </c>
      <c r="O22" s="0" t="inlineStr">
        <is>
          <t>+0.0%</t>
        </is>
      </c>
      <c r="P22" s="0" t="inlineStr">
        <is>
          <t>—</t>
        </is>
      </c>
      <c r="Q22" s="0" t="inlineStr">
        <is>
          <t>—</t>
        </is>
      </c>
    </row>
    <row r="23">
      <c r="A23" s="0" t="inlineStr">
        <is>
          <t>2026-05-22</t>
        </is>
      </c>
      <c r="B23" s="0" t="inlineStr">
        <is>
          <t>黄金</t>
        </is>
      </c>
      <c r="C23" s="0" t="inlineStr">
        <is>
          <t>518880.SH</t>
        </is>
      </c>
      <c r="D23" s="0" t="n">
        <v>15800</v>
      </c>
      <c r="E23" s="0" t="n">
        <v>9.497999999999999</v>
      </c>
      <c r="F23" s="0" t="n">
        <v>150068.4</v>
      </c>
      <c r="G23" s="0" t="n">
        <v>9.461</v>
      </c>
      <c r="H23" s="0" t="inlineStr">
        <is>
          <t>+0.12%</t>
        </is>
      </c>
      <c r="I23" s="0" t="n">
        <v>257</v>
      </c>
      <c r="J23" s="0" t="n">
        <v>149483.8</v>
      </c>
      <c r="K23" s="0" t="n">
        <v>-584.6</v>
      </c>
      <c r="L23" s="0" t="inlineStr">
        <is>
          <t>-0.39%</t>
        </is>
      </c>
      <c r="M23" s="0" t="inlineStr">
        <is>
          <t>15%</t>
        </is>
      </c>
      <c r="N23" s="0" t="inlineStr">
        <is>
          <t>3.00%</t>
        </is>
      </c>
      <c r="O23" s="0" t="inlineStr">
        <is>
          <t>-12.0%</t>
        </is>
      </c>
      <c r="P23" s="0" t="inlineStr">
        <is>
          <t>—</t>
        </is>
      </c>
      <c r="Q23" s="0" t="inlineStr">
        <is>
          <t>—</t>
        </is>
      </c>
    </row>
    <row r="24">
      <c r="A24" s="0" t="inlineStr">
        <is>
          <t>2026-05-25</t>
        </is>
      </c>
      <c r="B24" s="0" t="inlineStr">
        <is>
          <t>沪深300</t>
        </is>
      </c>
      <c r="C24" s="0" t="inlineStr">
        <is>
          <t>510300.SH</t>
        </is>
      </c>
      <c r="D24" s="0" t="n">
        <v>110000</v>
      </c>
      <c r="E24" s="0" t="n">
        <v>4.914</v>
      </c>
      <c r="F24" s="0" t="n">
        <v>540540</v>
      </c>
      <c r="G24" s="0" t="n">
        <v>4.937</v>
      </c>
      <c r="H24" s="0" t="inlineStr">
        <is>
          <t>+1.54%</t>
        </is>
      </c>
      <c r="I24" s="0" t="n">
        <v>797</v>
      </c>
      <c r="J24" s="0" t="n">
        <v>543070</v>
      </c>
      <c r="K24" s="0" t="n">
        <v>2530</v>
      </c>
      <c r="L24" s="0" t="inlineStr">
        <is>
          <t>0.47%</t>
        </is>
      </c>
      <c r="M24" s="0" t="inlineStr">
        <is>
          <t>15%</t>
        </is>
      </c>
      <c r="N24" s="0" t="inlineStr">
        <is>
          <t>10.83%</t>
        </is>
      </c>
      <c r="O24" s="0" t="inlineStr">
        <is>
          <t>-4.2%</t>
        </is>
      </c>
      <c r="P24" s="0" t="inlineStr">
        <is>
          <t>—</t>
        </is>
      </c>
      <c r="Q24" s="0" t="inlineStr">
        <is>
          <t>—</t>
        </is>
      </c>
    </row>
    <row r="25">
      <c r="A25" s="0" t="inlineStr">
        <is>
          <t>2026-05-25</t>
        </is>
      </c>
      <c r="B25" s="0" t="inlineStr">
        <is>
          <t>中证500</t>
        </is>
      </c>
      <c r="C25" s="0" t="inlineStr">
        <is>
          <t>510500.SH</t>
        </is>
      </c>
      <c r="D25" s="0" t="n">
        <v>20000</v>
      </c>
      <c r="E25" s="0" t="n">
        <v>8.696</v>
      </c>
      <c r="F25" s="0" t="n">
        <v>173920</v>
      </c>
      <c r="G25" s="0" t="n">
        <v>8.786</v>
      </c>
      <c r="H25" s="0" t="inlineStr">
        <is>
          <t>+1.48%</t>
        </is>
      </c>
      <c r="I25" s="0" t="n">
        <v>529</v>
      </c>
      <c r="J25" s="0" t="n">
        <v>175720</v>
      </c>
      <c r="K25" s="0" t="n">
        <v>1800</v>
      </c>
      <c r="L25" s="0" t="inlineStr">
        <is>
          <t>1.03%</t>
        </is>
      </c>
      <c r="M25" s="0" t="inlineStr">
        <is>
          <t>10%</t>
        </is>
      </c>
      <c r="N25" s="0" t="inlineStr">
        <is>
          <t>3.50%</t>
        </is>
      </c>
      <c r="O25" s="0" t="inlineStr">
        <is>
          <t>-6.5%</t>
        </is>
      </c>
      <c r="P25" s="0" t="inlineStr">
        <is>
          <t>—</t>
        </is>
      </c>
      <c r="Q25" s="0" t="inlineStr">
        <is>
          <t>—</t>
        </is>
      </c>
    </row>
    <row r="26">
      <c r="A26" s="0" t="inlineStr">
        <is>
          <t>2026-05-25</t>
        </is>
      </c>
      <c r="B26" s="0" t="inlineStr">
        <is>
          <t>科创50</t>
        </is>
      </c>
      <c r="C26" s="0" t="inlineStr">
        <is>
          <t>588050.SH</t>
        </is>
      </c>
      <c r="D26" s="0" t="n">
        <v>60000</v>
      </c>
      <c r="E26" s="0" t="n">
        <v>1.838</v>
      </c>
      <c r="F26" s="0" t="n">
        <v>110280</v>
      </c>
      <c r="G26" s="0" t="n">
        <v>1.941</v>
      </c>
      <c r="H26" s="0" t="inlineStr">
        <is>
          <t>+5.60%</t>
        </is>
      </c>
      <c r="I26" s="0" t="n">
        <v>123</v>
      </c>
      <c r="J26" s="0" t="n">
        <v>116460</v>
      </c>
      <c r="K26" s="0" t="n">
        <v>6180</v>
      </c>
      <c r="L26" s="0" t="inlineStr">
        <is>
          <t>5.60%</t>
        </is>
      </c>
      <c r="M26" s="0" t="inlineStr">
        <is>
          <t>5%</t>
        </is>
      </c>
      <c r="N26" s="0" t="inlineStr">
        <is>
          <t>2.32%</t>
        </is>
      </c>
      <c r="O26" s="0" t="inlineStr">
        <is>
          <t>-2.7%</t>
        </is>
      </c>
      <c r="P26" s="0" t="inlineStr">
        <is>
          <t>—</t>
        </is>
      </c>
      <c r="Q26" s="0" t="inlineStr">
        <is>
          <t>—</t>
        </is>
      </c>
    </row>
    <row r="27">
      <c r="A27" s="0" t="inlineStr">
        <is>
          <t>2026-05-25</t>
        </is>
      </c>
      <c r="B27" s="0" t="inlineStr">
        <is>
          <t>创业板</t>
        </is>
      </c>
      <c r="C27" s="0" t="inlineStr">
        <is>
          <t>159915.SZ</t>
        </is>
      </c>
      <c r="D27" s="0" t="n">
        <v>63000</v>
      </c>
      <c r="E27" s="0" t="n">
        <v>3.968</v>
      </c>
      <c r="F27" s="0" t="n">
        <v>249984</v>
      </c>
      <c r="G27" s="0" t="n">
        <v>4.034</v>
      </c>
      <c r="H27" s="0" t="inlineStr">
        <is>
          <t>+2.23%</t>
        </is>
      </c>
      <c r="I27" s="0" t="n">
        <v>544</v>
      </c>
      <c r="J27" s="0" t="n">
        <v>254142</v>
      </c>
      <c r="K27" s="0" t="n">
        <v>4158</v>
      </c>
      <c r="L27" s="0" t="inlineStr">
        <is>
          <t>1.66%</t>
        </is>
      </c>
      <c r="M27" s="0" t="inlineStr">
        <is>
          <t>5%</t>
        </is>
      </c>
      <c r="N27" s="0" t="inlineStr">
        <is>
          <t>5.07%</t>
        </is>
      </c>
      <c r="O27" s="0" t="inlineStr">
        <is>
          <t>+0.1%</t>
        </is>
      </c>
      <c r="P27" s="0" t="inlineStr">
        <is>
          <t>—</t>
        </is>
      </c>
      <c r="Q27" s="0" t="inlineStr">
        <is>
          <t>—</t>
        </is>
      </c>
    </row>
    <row r="28">
      <c r="A28" s="0" t="inlineStr">
        <is>
          <t>2026-05-25</t>
        </is>
      </c>
      <c r="B28" s="0" t="inlineStr">
        <is>
          <t>十年国债</t>
        </is>
      </c>
      <c r="C28" s="0" t="inlineStr">
        <is>
          <t>511260.SH</t>
        </is>
      </c>
      <c r="D28" s="0" t="n">
        <v>3700</v>
      </c>
      <c r="E28" s="0" t="n">
        <v>135.645</v>
      </c>
      <c r="F28" s="0" t="n">
        <v>501886.5</v>
      </c>
      <c r="G28" s="0" t="n">
        <v>135.529</v>
      </c>
      <c r="H28" s="0" t="inlineStr">
        <is>
          <t>+0.04%</t>
        </is>
      </c>
      <c r="I28" s="0" t="n">
        <v>365</v>
      </c>
      <c r="J28" s="0" t="n">
        <v>501457.3</v>
      </c>
      <c r="K28" s="0" t="n">
        <v>-429.2</v>
      </c>
      <c r="L28" s="0" t="inlineStr">
        <is>
          <t>-0.09%</t>
        </is>
      </c>
      <c r="M28" s="0" t="inlineStr">
        <is>
          <t>10%</t>
        </is>
      </c>
      <c r="N28" s="0" t="inlineStr">
        <is>
          <t>10.00%</t>
        </is>
      </c>
      <c r="O28" s="0" t="inlineStr">
        <is>
          <t>+0.0%</t>
        </is>
      </c>
      <c r="P28" s="0" t="inlineStr">
        <is>
          <t>—</t>
        </is>
      </c>
      <c r="Q28" s="0" t="inlineStr">
        <is>
          <t>—</t>
        </is>
      </c>
    </row>
    <row r="29">
      <c r="A29" s="0" t="inlineStr">
        <is>
          <t>2026-05-25</t>
        </is>
      </c>
      <c r="B29" s="0" t="inlineStr">
        <is>
          <t>五年国债</t>
        </is>
      </c>
      <c r="C29" s="0" t="inlineStr">
        <is>
          <t>511010.SH</t>
        </is>
      </c>
      <c r="D29" s="0" t="n">
        <v>3500</v>
      </c>
      <c r="E29" s="0" t="n">
        <v>141.2121</v>
      </c>
      <c r="F29" s="0" t="n">
        <v>494242.35</v>
      </c>
      <c r="G29" s="0" t="n">
        <v>141.176</v>
      </c>
      <c r="H29" s="0" t="inlineStr">
        <is>
          <t>-0.02%</t>
        </is>
      </c>
      <c r="I29" s="0" t="n">
        <v>23</v>
      </c>
      <c r="J29" s="0" t="n">
        <v>494116</v>
      </c>
      <c r="K29" s="0" t="n">
        <v>-126.35</v>
      </c>
      <c r="L29" s="0" t="inlineStr">
        <is>
          <t>-0.03%</t>
        </is>
      </c>
      <c r="M29" s="0" t="inlineStr">
        <is>
          <t>10%</t>
        </is>
      </c>
      <c r="N29" s="0" t="inlineStr">
        <is>
          <t>9.85%</t>
        </is>
      </c>
      <c r="O29" s="0" t="inlineStr">
        <is>
          <t>-0.1%</t>
        </is>
      </c>
      <c r="P29" s="0" t="inlineStr">
        <is>
          <t>—</t>
        </is>
      </c>
      <c r="Q29" s="0" t="inlineStr">
        <is>
          <t>—</t>
        </is>
      </c>
    </row>
    <row r="30">
      <c r="A30" s="0" t="inlineStr">
        <is>
          <t>2026-05-25</t>
        </is>
      </c>
      <c r="B30" s="0" t="inlineStr">
        <is>
          <t>短融</t>
        </is>
      </c>
      <c r="C30" s="0" t="inlineStr">
        <is>
          <t>511360.SH</t>
        </is>
      </c>
      <c r="D30" s="0" t="n">
        <v>2200</v>
      </c>
      <c r="E30" s="0" t="n">
        <v>113.462</v>
      </c>
      <c r="F30" s="0" t="n">
        <v>249616.4</v>
      </c>
      <c r="G30" s="0" t="n">
        <v>113.501</v>
      </c>
      <c r="H30" s="0" t="inlineStr">
        <is>
          <t>+0.00%</t>
        </is>
      </c>
      <c r="I30" s="0" t="n">
        <v>1344</v>
      </c>
      <c r="J30" s="0" t="n">
        <v>249702.2</v>
      </c>
      <c r="K30" s="0" t="n">
        <v>85.8</v>
      </c>
      <c r="L30" s="0" t="inlineStr">
        <is>
          <t>0.03%</t>
        </is>
      </c>
      <c r="M30" s="0" t="inlineStr">
        <is>
          <t>5%</t>
        </is>
      </c>
      <c r="N30" s="0" t="inlineStr">
        <is>
          <t>4.98%</t>
        </is>
      </c>
      <c r="O30" s="0" t="inlineStr">
        <is>
          <t>-0.0%</t>
        </is>
      </c>
      <c r="P30" s="0" t="inlineStr">
        <is>
          <t>—</t>
        </is>
      </c>
      <c r="Q30" s="0" t="inlineStr">
        <is>
          <t>—</t>
        </is>
      </c>
    </row>
    <row r="31">
      <c r="A31" s="0" t="inlineStr">
        <is>
          <t>2026-05-25</t>
        </is>
      </c>
      <c r="B31" s="0" t="inlineStr">
        <is>
          <t>黄金</t>
        </is>
      </c>
      <c r="C31" s="0" t="inlineStr">
        <is>
          <t>518880.SH</t>
        </is>
      </c>
      <c r="D31" s="0" t="n">
        <v>15800</v>
      </c>
      <c r="E31" s="0" t="n">
        <v>9.497999999999999</v>
      </c>
      <c r="F31" s="0" t="n">
        <v>150068.4</v>
      </c>
      <c r="G31" s="0" t="n">
        <v>9.512</v>
      </c>
      <c r="H31" s="0" t="inlineStr">
        <is>
          <t>+0.54%</t>
        </is>
      </c>
      <c r="I31" s="0" t="n">
        <v>227</v>
      </c>
      <c r="J31" s="0" t="n">
        <v>150289.6</v>
      </c>
      <c r="K31" s="0" t="n">
        <v>221.2</v>
      </c>
      <c r="L31" s="0" t="inlineStr">
        <is>
          <t>0.15%</t>
        </is>
      </c>
      <c r="M31" s="0" t="inlineStr">
        <is>
          <t>15%</t>
        </is>
      </c>
      <c r="N31" s="0" t="inlineStr">
        <is>
          <t>3.00%</t>
        </is>
      </c>
      <c r="O31" s="0" t="inlineStr">
        <is>
          <t>-12.0%</t>
        </is>
      </c>
      <c r="P31" s="0" t="inlineStr">
        <is>
          <t>—</t>
        </is>
      </c>
      <c r="Q31" s="0" t="inlineStr">
        <is>
          <t>—</t>
        </is>
      </c>
    </row>
    <row r="32">
      <c r="A32" s="0" t="inlineStr">
        <is>
          <t>2026-05-26</t>
        </is>
      </c>
      <c r="B32" s="0" t="inlineStr">
        <is>
          <t>沪深300</t>
        </is>
      </c>
      <c r="C32" s="0" t="inlineStr">
        <is>
          <t>510300.SH</t>
        </is>
      </c>
      <c r="D32" s="0" t="n">
        <v>110000</v>
      </c>
      <c r="E32" s="0" t="n">
        <v>4.914</v>
      </c>
      <c r="F32" s="0" t="n">
        <v>540540</v>
      </c>
      <c r="G32" s="0" t="n">
        <v>4.972</v>
      </c>
      <c r="H32" s="0" t="inlineStr">
        <is>
          <t>+0.71%</t>
        </is>
      </c>
      <c r="I32" s="0" t="n">
        <v>479</v>
      </c>
      <c r="J32" s="0" t="n">
        <v>546920</v>
      </c>
      <c r="K32" s="0" t="n">
        <v>6380</v>
      </c>
      <c r="L32" s="0" t="inlineStr">
        <is>
          <t>1.18%</t>
        </is>
      </c>
      <c r="M32" s="0" t="inlineStr">
        <is>
          <t>15%</t>
        </is>
      </c>
      <c r="N32" s="0" t="inlineStr">
        <is>
          <t>10.90%</t>
        </is>
      </c>
      <c r="O32" s="0" t="inlineStr">
        <is>
          <t>-4.1%</t>
        </is>
      </c>
      <c r="P32" s="0" t="inlineStr">
        <is>
          <t>—</t>
        </is>
      </c>
      <c r="Q32" s="0" t="inlineStr">
        <is>
          <t>—</t>
        </is>
      </c>
    </row>
    <row r="33">
      <c r="A33" s="0" t="inlineStr">
        <is>
          <t>2026-05-26</t>
        </is>
      </c>
      <c r="B33" s="0" t="inlineStr">
        <is>
          <t>中证500</t>
        </is>
      </c>
      <c r="C33" s="0" t="inlineStr">
        <is>
          <t>510500.SH</t>
        </is>
      </c>
      <c r="D33" s="0" t="n">
        <v>20000</v>
      </c>
      <c r="E33" s="0" t="n">
        <v>8.696</v>
      </c>
      <c r="F33" s="0" t="n">
        <v>173920</v>
      </c>
      <c r="G33" s="0" t="n">
        <v>8.752000000000001</v>
      </c>
      <c r="H33" s="0" t="inlineStr">
        <is>
          <t>-0.39%</t>
        </is>
      </c>
      <c r="I33" s="0" t="n">
        <v>210</v>
      </c>
      <c r="J33" s="0" t="n">
        <v>175040</v>
      </c>
      <c r="K33" s="0" t="n">
        <v>1120</v>
      </c>
      <c r="L33" s="0" t="inlineStr">
        <is>
          <t>0.64%</t>
        </is>
      </c>
      <c r="M33" s="0" t="inlineStr">
        <is>
          <t>10%</t>
        </is>
      </c>
      <c r="N33" s="0" t="inlineStr">
        <is>
          <t>3.49%</t>
        </is>
      </c>
      <c r="O33" s="0" t="inlineStr">
        <is>
          <t>-6.5%</t>
        </is>
      </c>
      <c r="P33" s="0" t="inlineStr">
        <is>
          <t>—</t>
        </is>
      </c>
      <c r="Q33" s="0" t="inlineStr">
        <is>
          <t>—</t>
        </is>
      </c>
    </row>
    <row r="34">
      <c r="A34" s="0" t="inlineStr">
        <is>
          <t>2026-05-26</t>
        </is>
      </c>
      <c r="B34" s="0" t="inlineStr">
        <is>
          <t>科创50</t>
        </is>
      </c>
      <c r="C34" s="0" t="inlineStr">
        <is>
          <t>588050.SH</t>
        </is>
      </c>
      <c r="D34" s="0" t="n">
        <v>60000</v>
      </c>
      <c r="E34" s="0" t="n">
        <v>1.838</v>
      </c>
      <c r="F34" s="0" t="n">
        <v>110280</v>
      </c>
      <c r="G34" s="0" t="n">
        <v>1.917</v>
      </c>
      <c r="H34" s="0" t="inlineStr">
        <is>
          <t>-1.24%</t>
        </is>
      </c>
      <c r="I34" s="0" t="n">
        <v>60</v>
      </c>
      <c r="J34" s="0" t="n">
        <v>115020</v>
      </c>
      <c r="K34" s="0" t="n">
        <v>4740</v>
      </c>
      <c r="L34" s="0" t="inlineStr">
        <is>
          <t>4.30%</t>
        </is>
      </c>
      <c r="M34" s="0" t="inlineStr">
        <is>
          <t>5%</t>
        </is>
      </c>
      <c r="N34" s="0" t="inlineStr">
        <is>
          <t>2.29%</t>
        </is>
      </c>
      <c r="O34" s="0" t="inlineStr">
        <is>
          <t>-2.7%</t>
        </is>
      </c>
      <c r="P34" s="0" t="inlineStr">
        <is>
          <t>—</t>
        </is>
      </c>
      <c r="Q34" s="0" t="inlineStr">
        <is>
          <t>—</t>
        </is>
      </c>
    </row>
    <row r="35">
      <c r="A35" s="0" t="inlineStr">
        <is>
          <t>2026-05-26</t>
        </is>
      </c>
      <c r="B35" s="0" t="inlineStr">
        <is>
          <t>创业板</t>
        </is>
      </c>
      <c r="C35" s="0" t="inlineStr">
        <is>
          <t>159915.SZ</t>
        </is>
      </c>
      <c r="D35" s="0" t="n">
        <v>63000</v>
      </c>
      <c r="E35" s="0" t="n">
        <v>3.968</v>
      </c>
      <c r="F35" s="0" t="n">
        <v>249984</v>
      </c>
      <c r="G35" s="0" t="n">
        <v>4.055</v>
      </c>
      <c r="H35" s="0" t="inlineStr">
        <is>
          <t>+0.52%</t>
        </is>
      </c>
      <c r="I35" s="0" t="n">
        <v>646</v>
      </c>
      <c r="J35" s="0" t="n">
        <v>255465</v>
      </c>
      <c r="K35" s="0" t="n">
        <v>5481</v>
      </c>
      <c r="L35" s="0" t="inlineStr">
        <is>
          <t>2.19%</t>
        </is>
      </c>
      <c r="M35" s="0" t="inlineStr">
        <is>
          <t>5%</t>
        </is>
      </c>
      <c r="N35" s="0" t="inlineStr">
        <is>
          <t>5.09%</t>
        </is>
      </c>
      <c r="O35" s="0" t="inlineStr">
        <is>
          <t>+0.1%</t>
        </is>
      </c>
      <c r="P35" s="0" t="inlineStr">
        <is>
          <t>—</t>
        </is>
      </c>
      <c r="Q35" s="0" t="inlineStr">
        <is>
          <t>—</t>
        </is>
      </c>
    </row>
    <row r="36">
      <c r="A36" s="0" t="inlineStr">
        <is>
          <t>2026-05-26</t>
        </is>
      </c>
      <c r="B36" s="0" t="inlineStr">
        <is>
          <t>红利低波</t>
        </is>
      </c>
      <c r="C36" s="0" t="inlineStr">
        <is>
          <t>512890.SH</t>
        </is>
      </c>
      <c r="D36" s="0" t="n">
        <v>218000</v>
      </c>
      <c r="E36" s="0" t="n">
        <v>1.15</v>
      </c>
      <c r="F36" s="0" t="n">
        <v>250700</v>
      </c>
      <c r="G36" s="0" t="n">
        <v>1.156</v>
      </c>
      <c r="H36" s="0" t="inlineStr">
        <is>
          <t>+0.35%</t>
        </is>
      </c>
      <c r="I36" s="0" t="n">
        <v>60</v>
      </c>
      <c r="J36" s="0" t="n">
        <v>252008</v>
      </c>
      <c r="K36" s="0" t="n">
        <v>1308</v>
      </c>
      <c r="L36" s="0" t="inlineStr">
        <is>
          <t>0.52%</t>
        </is>
      </c>
      <c r="M36" s="0" t="inlineStr">
        <is>
          <t>5%</t>
        </is>
      </c>
      <c r="N36" s="0" t="inlineStr">
        <is>
          <t>5.02%</t>
        </is>
      </c>
      <c r="O36" s="0" t="inlineStr">
        <is>
          <t>+0.0%</t>
        </is>
      </c>
      <c r="P36" s="0" t="inlineStr">
        <is>
          <t>—</t>
        </is>
      </c>
      <c r="Q36" s="0" t="inlineStr">
        <is>
          <t>—</t>
        </is>
      </c>
    </row>
    <row r="37">
      <c r="A37" s="0" t="inlineStr">
        <is>
          <t>2026-05-26</t>
        </is>
      </c>
      <c r="B37" s="0" t="inlineStr">
        <is>
          <t>十年国债</t>
        </is>
      </c>
      <c r="C37" s="0" t="inlineStr">
        <is>
          <t>511260.SH</t>
        </is>
      </c>
      <c r="D37" s="0" t="n">
        <v>3700</v>
      </c>
      <c r="E37" s="0" t="n">
        <v>135.645</v>
      </c>
      <c r="F37" s="0" t="n">
        <v>501886.5</v>
      </c>
      <c r="G37" s="0" t="n">
        <v>135.593</v>
      </c>
      <c r="H37" s="0" t="inlineStr">
        <is>
          <t>+0.05%</t>
        </is>
      </c>
      <c r="I37" s="0" t="n">
        <v>318</v>
      </c>
      <c r="J37" s="0" t="n">
        <v>501694.1</v>
      </c>
      <c r="K37" s="0" t="n">
        <v>-192.4</v>
      </c>
      <c r="L37" s="0" t="inlineStr">
        <is>
          <t>-0.04%</t>
        </is>
      </c>
      <c r="M37" s="0" t="inlineStr">
        <is>
          <t>10%</t>
        </is>
      </c>
      <c r="N37" s="0" t="inlineStr">
        <is>
          <t>10.00%</t>
        </is>
      </c>
      <c r="O37" s="0" t="inlineStr">
        <is>
          <t>-0.0%</t>
        </is>
      </c>
      <c r="P37" s="0" t="inlineStr">
        <is>
          <t>—</t>
        </is>
      </c>
      <c r="Q37" s="0" t="inlineStr">
        <is>
          <t>—</t>
        </is>
      </c>
    </row>
    <row r="38">
      <c r="A38" s="0" t="inlineStr">
        <is>
          <t>2026-05-26</t>
        </is>
      </c>
      <c r="B38" s="0" t="inlineStr">
        <is>
          <t>五年国债</t>
        </is>
      </c>
      <c r="C38" s="0" t="inlineStr">
        <is>
          <t>511010.SH</t>
        </is>
      </c>
      <c r="D38" s="0" t="n">
        <v>3500</v>
      </c>
      <c r="E38" s="0" t="n">
        <v>141.2121</v>
      </c>
      <c r="F38" s="0" t="n">
        <v>494242.35</v>
      </c>
      <c r="G38" s="0" t="n">
        <v>141.23</v>
      </c>
      <c r="H38" s="0" t="inlineStr">
        <is>
          <t>+0.04%</t>
        </is>
      </c>
      <c r="I38" s="0" t="n">
        <v>14</v>
      </c>
      <c r="J38" s="0" t="n">
        <v>494305</v>
      </c>
      <c r="K38" s="0" t="n">
        <v>62.65</v>
      </c>
      <c r="L38" s="0" t="inlineStr">
        <is>
          <t>0.01%</t>
        </is>
      </c>
      <c r="M38" s="0" t="inlineStr">
        <is>
          <t>10%</t>
        </is>
      </c>
      <c r="N38" s="0" t="inlineStr">
        <is>
          <t>9.85%</t>
        </is>
      </c>
      <c r="O38" s="0" t="inlineStr">
        <is>
          <t>-0.1%</t>
        </is>
      </c>
      <c r="P38" s="0" t="inlineStr">
        <is>
          <t>—</t>
        </is>
      </c>
      <c r="Q38" s="0" t="inlineStr">
        <is>
          <t>—</t>
        </is>
      </c>
    </row>
    <row r="39">
      <c r="A39" s="0" t="inlineStr">
        <is>
          <t>2026-05-26</t>
        </is>
      </c>
      <c r="B39" s="0" t="inlineStr">
        <is>
          <t>短融</t>
        </is>
      </c>
      <c r="C39" s="0" t="inlineStr">
        <is>
          <t>511360.SH</t>
        </is>
      </c>
      <c r="D39" s="0" t="n">
        <v>2200</v>
      </c>
      <c r="E39" s="0" t="n">
        <v>113.462</v>
      </c>
      <c r="F39" s="0" t="n">
        <v>249616.4</v>
      </c>
      <c r="G39" s="0" t="n">
        <v>113.505</v>
      </c>
      <c r="H39" s="0" t="inlineStr">
        <is>
          <t>+0.00%</t>
        </is>
      </c>
      <c r="I39" s="0" t="n">
        <v>983</v>
      </c>
      <c r="J39" s="0" t="n">
        <v>249711</v>
      </c>
      <c r="K39" s="0" t="n">
        <v>94.59999999999999</v>
      </c>
      <c r="L39" s="0" t="inlineStr">
        <is>
          <t>0.04%</t>
        </is>
      </c>
      <c r="M39" s="0" t="inlineStr">
        <is>
          <t>5%</t>
        </is>
      </c>
      <c r="N39" s="0" t="inlineStr">
        <is>
          <t>4.98%</t>
        </is>
      </c>
      <c r="O39" s="0" t="inlineStr">
        <is>
          <t>-0.0%</t>
        </is>
      </c>
      <c r="P39" s="0" t="inlineStr">
        <is>
          <t>—</t>
        </is>
      </c>
      <c r="Q39" s="0" t="inlineStr">
        <is>
          <t>—</t>
        </is>
      </c>
    </row>
    <row r="40">
      <c r="A40" s="0" t="inlineStr">
        <is>
          <t>2026-05-26</t>
        </is>
      </c>
      <c r="B40" s="0" t="inlineStr">
        <is>
          <t>黄金</t>
        </is>
      </c>
      <c r="C40" s="0" t="inlineStr">
        <is>
          <t>518880.SH</t>
        </is>
      </c>
      <c r="D40" s="0" t="n">
        <v>23800</v>
      </c>
      <c r="E40" s="0" t="n">
        <v>9.483499999999999</v>
      </c>
      <c r="F40" s="0" t="n">
        <v>225707.3</v>
      </c>
      <c r="G40" s="0" t="n">
        <v>9.454000000000001</v>
      </c>
      <c r="H40" s="0" t="inlineStr">
        <is>
          <t>-0.61%</t>
        </is>
      </c>
      <c r="I40" s="0" t="n">
        <v>209</v>
      </c>
      <c r="J40" s="0" t="n">
        <v>225005.2</v>
      </c>
      <c r="K40" s="0" t="n">
        <v>-702.1</v>
      </c>
      <c r="L40" s="0" t="inlineStr">
        <is>
          <t>-0.31%</t>
        </is>
      </c>
      <c r="M40" s="0" t="inlineStr">
        <is>
          <t>15%</t>
        </is>
      </c>
      <c r="N40" s="0" t="inlineStr">
        <is>
          <t>4.48%</t>
        </is>
      </c>
      <c r="O40" s="0" t="inlineStr">
        <is>
          <t>-10.5%</t>
        </is>
      </c>
      <c r="P40" s="0" t="inlineStr">
        <is>
          <t>—</t>
        </is>
      </c>
      <c r="Q40" s="0" t="inlineStr">
        <is>
          <t>—</t>
        </is>
      </c>
    </row>
    <row r="41">
      <c r="A41" s="0" t="inlineStr">
        <is>
          <t>2026-05-27</t>
        </is>
      </c>
      <c r="B41" s="0" t="inlineStr">
        <is>
          <t>沪深300</t>
        </is>
      </c>
      <c r="C41" s="0" t="inlineStr">
        <is>
          <t>510300.SH</t>
        </is>
      </c>
      <c r="D41" s="0" t="n">
        <v>110000</v>
      </c>
      <c r="E41" s="0" t="n">
        <v>4.914</v>
      </c>
      <c r="F41" s="0" t="n">
        <v>540540</v>
      </c>
      <c r="G41" s="0" t="n">
        <v>4.932</v>
      </c>
      <c r="H41" s="0" t="inlineStr">
        <is>
          <t>-0.80%</t>
        </is>
      </c>
      <c r="I41" s="0" t="n">
        <v>317</v>
      </c>
      <c r="J41" s="0" t="n">
        <v>542520</v>
      </c>
      <c r="K41" s="0" t="n">
        <v>1980</v>
      </c>
      <c r="L41" s="0" t="inlineStr">
        <is>
          <t>0.37%</t>
        </is>
      </c>
      <c r="M41" s="0" t="inlineStr">
        <is>
          <t>15%</t>
        </is>
      </c>
      <c r="N41" s="0" t="inlineStr">
        <is>
          <t>10.84%</t>
        </is>
      </c>
      <c r="O41" s="0" t="inlineStr">
        <is>
          <t>-4.2%</t>
        </is>
      </c>
      <c r="P41" s="0" t="inlineStr">
        <is>
          <t>—</t>
        </is>
      </c>
      <c r="Q41" s="0" t="inlineStr">
        <is>
          <t>—</t>
        </is>
      </c>
    </row>
    <row r="42">
      <c r="A42" s="0" t="inlineStr">
        <is>
          <t>2026-05-27</t>
        </is>
      </c>
      <c r="B42" s="0" t="inlineStr">
        <is>
          <t>中证500</t>
        </is>
      </c>
      <c r="C42" s="0" t="inlineStr">
        <is>
          <t>510500.SH</t>
        </is>
      </c>
      <c r="D42" s="0" t="n">
        <v>20000</v>
      </c>
      <c r="E42" s="0" t="n">
        <v>8.696</v>
      </c>
      <c r="F42" s="0" t="n">
        <v>173920</v>
      </c>
      <c r="G42" s="0" t="n">
        <v>8.614000000000001</v>
      </c>
      <c r="H42" s="0" t="inlineStr">
        <is>
          <t>-1.58%</t>
        </is>
      </c>
      <c r="I42" s="0" t="n">
        <v>287</v>
      </c>
      <c r="J42" s="0" t="n">
        <v>172280</v>
      </c>
      <c r="K42" s="0" t="n">
        <v>-1640</v>
      </c>
      <c r="L42" s="0" t="inlineStr">
        <is>
          <t>-0.94%</t>
        </is>
      </c>
      <c r="M42" s="0" t="inlineStr">
        <is>
          <t>10%</t>
        </is>
      </c>
      <c r="N42" s="0" t="inlineStr">
        <is>
          <t>3.44%</t>
        </is>
      </c>
      <c r="O42" s="0" t="inlineStr">
        <is>
          <t>-6.6%</t>
        </is>
      </c>
      <c r="P42" s="0" t="inlineStr">
        <is>
          <t>—</t>
        </is>
      </c>
      <c r="Q42" s="0" t="inlineStr">
        <is>
          <t>—</t>
        </is>
      </c>
    </row>
    <row r="43">
      <c r="A43" s="0" t="inlineStr">
        <is>
          <t>2026-05-27</t>
        </is>
      </c>
      <c r="B43" s="0" t="inlineStr">
        <is>
          <t>科创50</t>
        </is>
      </c>
      <c r="C43" s="0" t="inlineStr">
        <is>
          <t>588050.SH</t>
        </is>
      </c>
      <c r="D43" s="0" t="n">
        <v>60000</v>
      </c>
      <c r="E43" s="0" t="n">
        <v>1.838</v>
      </c>
      <c r="F43" s="0" t="n">
        <v>110280</v>
      </c>
      <c r="G43" s="0" t="n">
        <v>1.863</v>
      </c>
      <c r="H43" s="0" t="inlineStr">
        <is>
          <t>-2.82%</t>
        </is>
      </c>
      <c r="I43" s="0" t="n">
        <v>42</v>
      </c>
      <c r="J43" s="0" t="n">
        <v>111780</v>
      </c>
      <c r="K43" s="0" t="n">
        <v>1500</v>
      </c>
      <c r="L43" s="0" t="inlineStr">
        <is>
          <t>1.36%</t>
        </is>
      </c>
      <c r="M43" s="0" t="inlineStr">
        <is>
          <t>5%</t>
        </is>
      </c>
      <c r="N43" s="0" t="inlineStr">
        <is>
          <t>2.23%</t>
        </is>
      </c>
      <c r="O43" s="0" t="inlineStr">
        <is>
          <t>-2.8%</t>
        </is>
      </c>
      <c r="P43" s="0" t="inlineStr">
        <is>
          <t>—</t>
        </is>
      </c>
      <c r="Q43" s="0" t="inlineStr">
        <is>
          <t>—</t>
        </is>
      </c>
    </row>
    <row r="44">
      <c r="A44" s="0" t="inlineStr">
        <is>
          <t>2026-05-27</t>
        </is>
      </c>
      <c r="B44" s="0" t="inlineStr">
        <is>
          <t>创业板</t>
        </is>
      </c>
      <c r="C44" s="0" t="inlineStr">
        <is>
          <t>159915.SZ</t>
        </is>
      </c>
      <c r="D44" s="0" t="n">
        <v>63000</v>
      </c>
      <c r="E44" s="0" t="n">
        <v>3.968</v>
      </c>
      <c r="F44" s="0" t="n">
        <v>249984</v>
      </c>
      <c r="G44" s="0" t="n">
        <v>4.056</v>
      </c>
      <c r="H44" s="0" t="inlineStr">
        <is>
          <t>+0.02%</t>
        </is>
      </c>
      <c r="I44" s="0" t="n">
        <v>716</v>
      </c>
      <c r="J44" s="0" t="n">
        <v>255528</v>
      </c>
      <c r="K44" s="0" t="n">
        <v>5544</v>
      </c>
      <c r="L44" s="0" t="inlineStr">
        <is>
          <t>2.22%</t>
        </is>
      </c>
      <c r="M44" s="0" t="inlineStr">
        <is>
          <t>5%</t>
        </is>
      </c>
      <c r="N44" s="0" t="inlineStr">
        <is>
          <t>5.11%</t>
        </is>
      </c>
      <c r="O44" s="0" t="inlineStr">
        <is>
          <t>+0.1%</t>
        </is>
      </c>
      <c r="P44" s="0" t="inlineStr">
        <is>
          <t>—</t>
        </is>
      </c>
      <c r="Q44" s="0" t="inlineStr">
        <is>
          <t>—</t>
        </is>
      </c>
    </row>
    <row r="45">
      <c r="A45" s="0" t="inlineStr">
        <is>
          <t>2026-05-27</t>
        </is>
      </c>
      <c r="B45" s="0" t="inlineStr">
        <is>
          <t>红利低波</t>
        </is>
      </c>
      <c r="C45" s="0" t="inlineStr">
        <is>
          <t>512890.SH</t>
        </is>
      </c>
      <c r="D45" s="0" t="n">
        <v>218000</v>
      </c>
      <c r="E45" s="0" t="n">
        <v>1.15</v>
      </c>
      <c r="F45" s="0" t="n">
        <v>250700</v>
      </c>
      <c r="G45" s="0" t="n">
        <v>1.15</v>
      </c>
      <c r="H45" s="0" t="inlineStr">
        <is>
          <t>-0.52%</t>
        </is>
      </c>
      <c r="I45" s="0" t="n">
        <v>73</v>
      </c>
      <c r="J45" s="0" t="n">
        <v>250700</v>
      </c>
      <c r="K45" s="0" t="n">
        <v>0</v>
      </c>
      <c r="L45" s="0" t="inlineStr">
        <is>
          <t>0.00%</t>
        </is>
      </c>
      <c r="M45" s="0" t="inlineStr">
        <is>
          <t>5%</t>
        </is>
      </c>
      <c r="N45" s="0" t="inlineStr">
        <is>
          <t>5.01%</t>
        </is>
      </c>
      <c r="O45" s="0" t="inlineStr">
        <is>
          <t>+0.0%</t>
        </is>
      </c>
      <c r="P45" s="0" t="inlineStr">
        <is>
          <t>—</t>
        </is>
      </c>
      <c r="Q45" s="0" t="inlineStr">
        <is>
          <t>—</t>
        </is>
      </c>
    </row>
    <row r="46">
      <c r="A46" s="0" t="inlineStr">
        <is>
          <t>2026-05-27</t>
        </is>
      </c>
      <c r="B46" s="0" t="inlineStr">
        <is>
          <t>十年国债</t>
        </is>
      </c>
      <c r="C46" s="0" t="inlineStr">
        <is>
          <t>511260.SH</t>
        </is>
      </c>
      <c r="D46" s="0" t="n">
        <v>3700</v>
      </c>
      <c r="E46" s="0" t="n">
        <v>135.645</v>
      </c>
      <c r="F46" s="0" t="n">
        <v>501886.5</v>
      </c>
      <c r="G46" s="0" t="n">
        <v>135.785</v>
      </c>
      <c r="H46" s="0" t="inlineStr">
        <is>
          <t>+0.14%</t>
        </is>
      </c>
      <c r="I46" s="0" t="n">
        <v>566</v>
      </c>
      <c r="J46" s="0" t="n">
        <v>502404.5</v>
      </c>
      <c r="K46" s="0" t="n">
        <v>518</v>
      </c>
      <c r="L46" s="0" t="inlineStr">
        <is>
          <t>0.10%</t>
        </is>
      </c>
      <c r="M46" s="0" t="inlineStr">
        <is>
          <t>10%</t>
        </is>
      </c>
      <c r="N46" s="0" t="inlineStr">
        <is>
          <t>10.04%</t>
        </is>
      </c>
      <c r="O46" s="0" t="inlineStr">
        <is>
          <t>+0.0%</t>
        </is>
      </c>
      <c r="P46" s="0" t="inlineStr">
        <is>
          <t>—</t>
        </is>
      </c>
      <c r="Q46" s="0" t="inlineStr">
        <is>
          <t>—</t>
        </is>
      </c>
    </row>
    <row r="47">
      <c r="A47" s="0" t="inlineStr">
        <is>
          <t>2026-05-27</t>
        </is>
      </c>
      <c r="B47" s="0" t="inlineStr">
        <is>
          <t>五年国债</t>
        </is>
      </c>
      <c r="C47" s="0" t="inlineStr">
        <is>
          <t>511010.SH</t>
        </is>
      </c>
      <c r="D47" s="0" t="n">
        <v>3500</v>
      </c>
      <c r="E47" s="0" t="n">
        <v>141.2121</v>
      </c>
      <c r="F47" s="0" t="n">
        <v>494242.35</v>
      </c>
      <c r="G47" s="0" t="n">
        <v>141.302</v>
      </c>
      <c r="H47" s="0" t="inlineStr">
        <is>
          <t>+0.05%</t>
        </is>
      </c>
      <c r="I47" s="0" t="n">
        <v>103</v>
      </c>
      <c r="J47" s="0" t="n">
        <v>494557</v>
      </c>
      <c r="K47" s="0" t="n">
        <v>314.65</v>
      </c>
      <c r="L47" s="0" t="inlineStr">
        <is>
          <t>0.06%</t>
        </is>
      </c>
      <c r="M47" s="0" t="inlineStr">
        <is>
          <t>10%</t>
        </is>
      </c>
      <c r="N47" s="0" t="inlineStr">
        <is>
          <t>9.88%</t>
        </is>
      </c>
      <c r="O47" s="0" t="inlineStr">
        <is>
          <t>-0.1%</t>
        </is>
      </c>
      <c r="P47" s="0" t="inlineStr">
        <is>
          <t>—</t>
        </is>
      </c>
      <c r="Q47" s="0" t="inlineStr">
        <is>
          <t>—</t>
        </is>
      </c>
    </row>
    <row r="48">
      <c r="A48" s="0" t="inlineStr">
        <is>
          <t>2026-05-27</t>
        </is>
      </c>
      <c r="B48" s="0" t="inlineStr">
        <is>
          <t>短融</t>
        </is>
      </c>
      <c r="C48" s="0" t="inlineStr">
        <is>
          <t>511360.SH</t>
        </is>
      </c>
      <c r="D48" s="0" t="n">
        <v>2200</v>
      </c>
      <c r="E48" s="0" t="n">
        <v>113.462</v>
      </c>
      <c r="F48" s="0" t="n">
        <v>249616.4</v>
      </c>
      <c r="G48" s="0" t="n">
        <v>113.505</v>
      </c>
      <c r="H48" s="0" t="inlineStr">
        <is>
          <t>+0.00%</t>
        </is>
      </c>
      <c r="I48" s="0" t="n">
        <v>1028</v>
      </c>
      <c r="J48" s="0" t="n">
        <v>249711</v>
      </c>
      <c r="K48" s="0" t="n">
        <v>94.59999999999999</v>
      </c>
      <c r="L48" s="0" t="inlineStr">
        <is>
          <t>0.04%</t>
        </is>
      </c>
      <c r="M48" s="0" t="inlineStr">
        <is>
          <t>5%</t>
        </is>
      </c>
      <c r="N48" s="0" t="inlineStr">
        <is>
          <t>4.99%</t>
        </is>
      </c>
      <c r="O48" s="0" t="inlineStr">
        <is>
          <t>-0.0%</t>
        </is>
      </c>
      <c r="P48" s="0" t="inlineStr">
        <is>
          <t>—</t>
        </is>
      </c>
      <c r="Q48" s="0" t="inlineStr">
        <is>
          <t>—</t>
        </is>
      </c>
    </row>
    <row r="49">
      <c r="A49" s="0" t="inlineStr">
        <is>
          <t>2026-05-27</t>
        </is>
      </c>
      <c r="B49" s="0" t="inlineStr">
        <is>
          <t>黄金</t>
        </is>
      </c>
      <c r="C49" s="0" t="inlineStr">
        <is>
          <t>518880.SH</t>
        </is>
      </c>
      <c r="D49" s="0" t="n">
        <v>31800</v>
      </c>
      <c r="E49" s="0" t="n">
        <v>9.4587</v>
      </c>
      <c r="F49" s="0" t="n">
        <v>300786.66</v>
      </c>
      <c r="G49" s="0" t="n">
        <v>9.345000000000001</v>
      </c>
      <c r="H49" s="0" t="inlineStr">
        <is>
          <t>-1.15%</t>
        </is>
      </c>
      <c r="I49" s="0" t="n">
        <v>304</v>
      </c>
      <c r="J49" s="0" t="n">
        <v>297171</v>
      </c>
      <c r="K49" s="0" t="n">
        <v>-3615.66</v>
      </c>
      <c r="L49" s="0" t="inlineStr">
        <is>
          <t>-1.20%</t>
        </is>
      </c>
      <c r="M49" s="0" t="inlineStr">
        <is>
          <t>15%</t>
        </is>
      </c>
      <c r="N49" s="0" t="inlineStr">
        <is>
          <t>5.94%</t>
        </is>
      </c>
      <c r="O49" s="0" t="inlineStr">
        <is>
          <t>-9.1%</t>
        </is>
      </c>
      <c r="P49" s="0" t="inlineStr">
        <is>
          <t>—</t>
        </is>
      </c>
      <c r="Q49" s="0" t="inlineStr">
        <is>
          <t>—</t>
        </is>
      </c>
    </row>
    <row r="50">
      <c r="A50" s="0" t="inlineStr">
        <is>
          <t>2026-05-28</t>
        </is>
      </c>
      <c r="B50" s="0" t="inlineStr">
        <is>
          <t>沪深300</t>
        </is>
      </c>
      <c r="C50" s="0" t="inlineStr">
        <is>
          <t>510300.SH</t>
        </is>
      </c>
      <c r="D50" s="0" t="n">
        <v>110000</v>
      </c>
      <c r="E50" s="0" t="n">
        <v>4.914</v>
      </c>
      <c r="F50" s="0" t="n">
        <v>540540</v>
      </c>
      <c r="G50" s="0" t="n">
        <v>4.932</v>
      </c>
      <c r="H50" s="0" t="inlineStr">
        <is>
          <t>+0.00%</t>
        </is>
      </c>
      <c r="I50" s="0" t="n">
        <v>216</v>
      </c>
      <c r="J50" s="0" t="n">
        <v>542520</v>
      </c>
      <c r="K50" s="0" t="n">
        <v>1980</v>
      </c>
      <c r="L50" s="0" t="inlineStr">
        <is>
          <t>0.37%</t>
        </is>
      </c>
      <c r="M50" s="0" t="inlineStr">
        <is>
          <t>15%</t>
        </is>
      </c>
      <c r="N50" s="0" t="inlineStr">
        <is>
          <t>10.84%</t>
        </is>
      </c>
      <c r="O50" s="0" t="inlineStr">
        <is>
          <t>-4.2%</t>
        </is>
      </c>
      <c r="P50" s="0" t="inlineStr">
        <is>
          <t>—</t>
        </is>
      </c>
      <c r="Q50" s="0" t="inlineStr">
        <is>
          <t>—</t>
        </is>
      </c>
    </row>
    <row r="51">
      <c r="A51" s="0" t="inlineStr">
        <is>
          <t>2026-05-28</t>
        </is>
      </c>
      <c r="B51" s="0" t="inlineStr">
        <is>
          <t>中证500</t>
        </is>
      </c>
      <c r="C51" s="0" t="inlineStr">
        <is>
          <t>510500.SH</t>
        </is>
      </c>
      <c r="D51" s="0" t="n">
        <v>20000</v>
      </c>
      <c r="E51" s="0" t="n">
        <v>8.696</v>
      </c>
      <c r="F51" s="0" t="n">
        <v>173920</v>
      </c>
      <c r="G51" s="0" t="n">
        <v>8.648999999999999</v>
      </c>
      <c r="H51" s="0" t="inlineStr">
        <is>
          <t>+0.41%</t>
        </is>
      </c>
      <c r="I51" s="0" t="n">
        <v>286</v>
      </c>
      <c r="J51" s="0" t="n">
        <v>172980</v>
      </c>
      <c r="K51" s="0" t="n">
        <v>-940</v>
      </c>
      <c r="L51" s="0" t="inlineStr">
        <is>
          <t>-0.54%</t>
        </is>
      </c>
      <c r="M51" s="0" t="inlineStr">
        <is>
          <t>10%</t>
        </is>
      </c>
      <c r="N51" s="0" t="inlineStr">
        <is>
          <t>3.46%</t>
        </is>
      </c>
      <c r="O51" s="0" t="inlineStr">
        <is>
          <t>-6.5%</t>
        </is>
      </c>
      <c r="P51" s="0" t="inlineStr">
        <is>
          <t>—</t>
        </is>
      </c>
      <c r="Q51" s="0" t="inlineStr">
        <is>
          <t>—</t>
        </is>
      </c>
    </row>
    <row r="52">
      <c r="A52" s="0" t="inlineStr">
        <is>
          <t>2026-05-28</t>
        </is>
      </c>
      <c r="B52" s="0" t="inlineStr">
        <is>
          <t>科创50</t>
        </is>
      </c>
      <c r="C52" s="0" t="inlineStr">
        <is>
          <t>588050.SH</t>
        </is>
      </c>
      <c r="D52" s="0" t="n">
        <v>60000</v>
      </c>
      <c r="E52" s="0" t="n">
        <v>1.838</v>
      </c>
      <c r="F52" s="0" t="n">
        <v>110280</v>
      </c>
      <c r="G52" s="0" t="n">
        <v>1.892</v>
      </c>
      <c r="H52" s="0" t="inlineStr">
        <is>
          <t>+1.56%</t>
        </is>
      </c>
      <c r="I52" s="0" t="n">
        <v>58</v>
      </c>
      <c r="J52" s="0" t="n">
        <v>113520</v>
      </c>
      <c r="K52" s="0" t="n">
        <v>3240</v>
      </c>
      <c r="L52" s="0" t="inlineStr">
        <is>
          <t>2.94%</t>
        </is>
      </c>
      <c r="M52" s="0" t="inlineStr">
        <is>
          <t>5%</t>
        </is>
      </c>
      <c r="N52" s="0" t="inlineStr">
        <is>
          <t>2.27%</t>
        </is>
      </c>
      <c r="O52" s="0" t="inlineStr">
        <is>
          <t>-2.7%</t>
        </is>
      </c>
      <c r="P52" s="0" t="inlineStr">
        <is>
          <t>—</t>
        </is>
      </c>
      <c r="Q52" s="0" t="inlineStr">
        <is>
          <t>—</t>
        </is>
      </c>
    </row>
    <row r="53">
      <c r="A53" s="0" t="inlineStr">
        <is>
          <t>2026-05-28</t>
        </is>
      </c>
      <c r="B53" s="0" t="inlineStr">
        <is>
          <t>创业板</t>
        </is>
      </c>
      <c r="C53" s="0" t="inlineStr">
        <is>
          <t>159915.SZ</t>
        </is>
      </c>
      <c r="D53" s="0" t="n">
        <v>63000</v>
      </c>
      <c r="E53" s="0" t="n">
        <v>3.968</v>
      </c>
      <c r="F53" s="0" t="n">
        <v>249984</v>
      </c>
      <c r="G53" s="0" t="n">
        <v>4.138</v>
      </c>
      <c r="H53" s="0" t="inlineStr">
        <is>
          <t>+2.02%</t>
        </is>
      </c>
      <c r="I53" s="0" t="n">
        <v>568</v>
      </c>
      <c r="J53" s="0" t="n">
        <v>260694</v>
      </c>
      <c r="K53" s="0" t="n">
        <v>10710</v>
      </c>
      <c r="L53" s="0" t="inlineStr">
        <is>
          <t>4.28%</t>
        </is>
      </c>
      <c r="M53" s="0" t="inlineStr">
        <is>
          <t>5%</t>
        </is>
      </c>
      <c r="N53" s="0" t="inlineStr">
        <is>
          <t>5.21%</t>
        </is>
      </c>
      <c r="O53" s="0" t="inlineStr">
        <is>
          <t>+0.2%</t>
        </is>
      </c>
      <c r="P53" s="0" t="inlineStr">
        <is>
          <t>—</t>
        </is>
      </c>
      <c r="Q53" s="0" t="inlineStr">
        <is>
          <t>—</t>
        </is>
      </c>
    </row>
    <row r="54">
      <c r="A54" s="0" t="inlineStr">
        <is>
          <t>2026-05-28</t>
        </is>
      </c>
      <c r="B54" s="0" t="inlineStr">
        <is>
          <t>红利低波</t>
        </is>
      </c>
      <c r="C54" s="0" t="inlineStr">
        <is>
          <t>512890.SH</t>
        </is>
      </c>
      <c r="D54" s="0" t="n">
        <v>218000</v>
      </c>
      <c r="E54" s="0" t="n">
        <v>1.15</v>
      </c>
      <c r="F54" s="0" t="n">
        <v>250700</v>
      </c>
      <c r="G54" s="0" t="n">
        <v>1.144</v>
      </c>
      <c r="H54" s="0" t="inlineStr">
        <is>
          <t>-0.52%</t>
        </is>
      </c>
      <c r="I54" s="0" t="n">
        <v>75</v>
      </c>
      <c r="J54" s="0" t="n">
        <v>249392</v>
      </c>
      <c r="K54" s="0" t="n">
        <v>-1308</v>
      </c>
      <c r="L54" s="0" t="inlineStr">
        <is>
          <t>-0.52%</t>
        </is>
      </c>
      <c r="M54" s="0" t="inlineStr">
        <is>
          <t>5%</t>
        </is>
      </c>
      <c r="N54" s="0" t="inlineStr">
        <is>
          <t>4.98%</t>
        </is>
      </c>
      <c r="O54" s="0" t="inlineStr">
        <is>
          <t>-0.0%</t>
        </is>
      </c>
      <c r="P54" s="0" t="inlineStr">
        <is>
          <t>—</t>
        </is>
      </c>
      <c r="Q54" s="0" t="inlineStr">
        <is>
          <t>—</t>
        </is>
      </c>
    </row>
    <row r="55">
      <c r="A55" s="0" t="inlineStr">
        <is>
          <t>2026-05-28</t>
        </is>
      </c>
      <c r="B55" s="0" t="inlineStr">
        <is>
          <t>十年国债</t>
        </is>
      </c>
      <c r="C55" s="0" t="inlineStr">
        <is>
          <t>511260.SH</t>
        </is>
      </c>
      <c r="D55" s="0" t="n">
        <v>3700</v>
      </c>
      <c r="E55" s="0" t="n">
        <v>135.645</v>
      </c>
      <c r="F55" s="0" t="n">
        <v>501886.5</v>
      </c>
      <c r="G55" s="0" t="n">
        <v>135.975</v>
      </c>
      <c r="H55" s="0" t="inlineStr">
        <is>
          <t>+0.14%</t>
        </is>
      </c>
      <c r="I55" s="0" t="n">
        <v>510</v>
      </c>
      <c r="J55" s="0" t="n">
        <v>503107.5</v>
      </c>
      <c r="K55" s="0" t="n">
        <v>1221</v>
      </c>
      <c r="L55" s="0" t="inlineStr">
        <is>
          <t>0.24%</t>
        </is>
      </c>
      <c r="M55" s="0" t="inlineStr">
        <is>
          <t>10%</t>
        </is>
      </c>
      <c r="N55" s="0" t="inlineStr">
        <is>
          <t>10.05%</t>
        </is>
      </c>
      <c r="O55" s="0" t="inlineStr">
        <is>
          <t>+0.1%</t>
        </is>
      </c>
      <c r="P55" s="0" t="inlineStr">
        <is>
          <t>—</t>
        </is>
      </c>
      <c r="Q55" s="0" t="inlineStr">
        <is>
          <t>—</t>
        </is>
      </c>
    </row>
    <row r="56">
      <c r="A56" s="0" t="inlineStr">
        <is>
          <t>2026-05-28</t>
        </is>
      </c>
      <c r="B56" s="0" t="inlineStr">
        <is>
          <t>五年国债</t>
        </is>
      </c>
      <c r="C56" s="0" t="inlineStr">
        <is>
          <t>511010.SH</t>
        </is>
      </c>
      <c r="D56" s="0" t="n">
        <v>3500</v>
      </c>
      <c r="E56" s="0" t="n">
        <v>141.2121</v>
      </c>
      <c r="F56" s="0" t="n">
        <v>494242.35</v>
      </c>
      <c r="G56" s="0" t="n">
        <v>141.417</v>
      </c>
      <c r="H56" s="0" t="inlineStr">
        <is>
          <t>+0.08%</t>
        </is>
      </c>
      <c r="I56" s="0" t="n">
        <v>26</v>
      </c>
      <c r="J56" s="0" t="n">
        <v>494959.5</v>
      </c>
      <c r="K56" s="0" t="n">
        <v>717.15</v>
      </c>
      <c r="L56" s="0" t="inlineStr">
        <is>
          <t>0.15%</t>
        </is>
      </c>
      <c r="M56" s="0" t="inlineStr">
        <is>
          <t>10%</t>
        </is>
      </c>
      <c r="N56" s="0" t="inlineStr">
        <is>
          <t>9.89%</t>
        </is>
      </c>
      <c r="O56" s="0" t="inlineStr">
        <is>
          <t>-0.1%</t>
        </is>
      </c>
      <c r="P56" s="0" t="inlineStr">
        <is>
          <t>—</t>
        </is>
      </c>
      <c r="Q56" s="0" t="inlineStr">
        <is>
          <t>—</t>
        </is>
      </c>
    </row>
    <row r="57">
      <c r="A57" s="0" t="inlineStr">
        <is>
          <t>2026-05-28</t>
        </is>
      </c>
      <c r="B57" s="0" t="inlineStr">
        <is>
          <t>短融</t>
        </is>
      </c>
      <c r="C57" s="0" t="inlineStr">
        <is>
          <t>511360.SH</t>
        </is>
      </c>
      <c r="D57" s="0" t="n">
        <v>2200</v>
      </c>
      <c r="E57" s="0" t="n">
        <v>113.462</v>
      </c>
      <c r="F57" s="0" t="n">
        <v>249616.4</v>
      </c>
      <c r="G57" s="0" t="n">
        <v>113.515</v>
      </c>
      <c r="H57" s="0" t="inlineStr">
        <is>
          <t>+0.01%</t>
        </is>
      </c>
      <c r="I57" s="0" t="n">
        <v>1134</v>
      </c>
      <c r="J57" s="0" t="n">
        <v>249733</v>
      </c>
      <c r="K57" s="0" t="n">
        <v>116.6</v>
      </c>
      <c r="L57" s="0" t="inlineStr">
        <is>
          <t>0.05%</t>
        </is>
      </c>
      <c r="M57" s="0" t="inlineStr">
        <is>
          <t>5%</t>
        </is>
      </c>
      <c r="N57" s="0" t="inlineStr">
        <is>
          <t>4.99%</t>
        </is>
      </c>
      <c r="O57" s="0" t="inlineStr">
        <is>
          <t>-0.0%</t>
        </is>
      </c>
      <c r="P57" s="0" t="inlineStr">
        <is>
          <t>—</t>
        </is>
      </c>
      <c r="Q57" s="0" t="inlineStr">
        <is>
          <t>—</t>
        </is>
      </c>
    </row>
    <row r="58">
      <c r="A58" s="0" t="inlineStr">
        <is>
          <t>2026-05-28</t>
        </is>
      </c>
      <c r="B58" s="0" t="inlineStr">
        <is>
          <t>黄金</t>
        </is>
      </c>
      <c r="C58" s="0" t="inlineStr">
        <is>
          <t>518880.SH</t>
        </is>
      </c>
      <c r="D58" s="0" t="n">
        <v>39800</v>
      </c>
      <c r="E58" s="0" t="n">
        <v>9.396599999999999</v>
      </c>
      <c r="F58" s="0" t="n">
        <v>373984.68</v>
      </c>
      <c r="G58" s="0" t="n">
        <v>9.132</v>
      </c>
      <c r="H58" s="0" t="inlineStr">
        <is>
          <t>-2.28%</t>
        </is>
      </c>
      <c r="I58" s="0" t="n">
        <v>418</v>
      </c>
      <c r="J58" s="0" t="n">
        <v>363453.6</v>
      </c>
      <c r="K58" s="0" t="n">
        <v>-10531.08</v>
      </c>
      <c r="L58" s="0" t="inlineStr">
        <is>
          <t>-2.82%</t>
        </is>
      </c>
      <c r="M58" s="0" t="inlineStr">
        <is>
          <t>15%</t>
        </is>
      </c>
      <c r="N58" s="0" t="inlineStr">
        <is>
          <t>7.26%</t>
        </is>
      </c>
      <c r="O58" s="0" t="inlineStr">
        <is>
          <t>-7.7%</t>
        </is>
      </c>
      <c r="P58" s="0" t="inlineStr">
        <is>
          <t>—</t>
        </is>
      </c>
      <c r="Q58" s="0" t="inlineStr">
        <is>
          <t>—</t>
        </is>
      </c>
    </row>
    <row r="59">
      <c r="A59" s="0" t="inlineStr">
        <is>
          <t>2026-05-28</t>
        </is>
      </c>
      <c r="B59" s="0" t="inlineStr">
        <is>
          <t>华宝添益</t>
        </is>
      </c>
      <c r="C59" s="0" t="inlineStr">
        <is>
          <t>511990.SH</t>
        </is>
      </c>
      <c r="D59" s="0" t="n">
        <v>2500</v>
      </c>
      <c r="E59" s="0" t="n">
        <v>99.997</v>
      </c>
      <c r="F59" s="0" t="n">
        <v>249992.5</v>
      </c>
      <c r="G59" s="0" t="n">
        <v>99.998</v>
      </c>
      <c r="H59" s="0" t="inlineStr">
        <is>
          <t>-0.00%</t>
        </is>
      </c>
      <c r="I59" s="0" t="n">
        <v>817</v>
      </c>
      <c r="J59" s="0" t="n">
        <v>249995</v>
      </c>
      <c r="K59" s="0" t="n">
        <v>2.5</v>
      </c>
      <c r="L59" s="0" t="inlineStr">
        <is>
          <t>0.00%</t>
        </is>
      </c>
      <c r="M59" s="0" t="inlineStr">
        <is>
          <t>5%</t>
        </is>
      </c>
      <c r="N59" s="0" t="inlineStr">
        <is>
          <t>4.99%</t>
        </is>
      </c>
      <c r="O59" s="0" t="inlineStr">
        <is>
          <t>-0.0%</t>
        </is>
      </c>
      <c r="P59" s="0" t="inlineStr">
        <is>
          <t>—</t>
        </is>
      </c>
      <c r="Q59" s="0" t="inlineStr">
        <is>
          <t>—</t>
        </is>
      </c>
    </row>
    <row r="60">
      <c r="A60" s="0" t="inlineStr">
        <is>
          <t>2026-05-29</t>
        </is>
      </c>
      <c r="B60" s="0" t="inlineStr">
        <is>
          <t>沪深300</t>
        </is>
      </c>
      <c r="C60" s="0" t="inlineStr">
        <is>
          <t>510300.SH</t>
        </is>
      </c>
      <c r="D60" s="0" t="n">
        <v>110000</v>
      </c>
      <c r="E60" s="0" t="n">
        <v>4.914</v>
      </c>
      <c r="F60" s="0" t="n">
        <v>540540</v>
      </c>
      <c r="G60" s="0" t="n">
        <v>4.923</v>
      </c>
      <c r="H60" s="0" t="inlineStr">
        <is>
          <t>-0.18%</t>
        </is>
      </c>
      <c r="I60" s="0" t="n">
        <v>324</v>
      </c>
      <c r="J60" s="0" t="n">
        <v>541530</v>
      </c>
      <c r="K60" s="0" t="n">
        <v>990</v>
      </c>
      <c r="L60" s="0" t="inlineStr">
        <is>
          <t>0.18%</t>
        </is>
      </c>
      <c r="M60" s="0" t="inlineStr">
        <is>
          <t>15%</t>
        </is>
      </c>
      <c r="N60" s="0" t="inlineStr">
        <is>
          <t>10.82%</t>
        </is>
      </c>
      <c r="O60" s="0" t="inlineStr">
        <is>
          <t>-4.2%</t>
        </is>
      </c>
      <c r="P60" s="0" t="inlineStr">
        <is>
          <t>—</t>
        </is>
      </c>
      <c r="Q60" s="0" t="inlineStr">
        <is>
          <t>—</t>
        </is>
      </c>
    </row>
    <row r="61">
      <c r="A61" s="0" t="inlineStr">
        <is>
          <t>2026-05-29</t>
        </is>
      </c>
      <c r="B61" s="0" t="inlineStr">
        <is>
          <t>中证500</t>
        </is>
      </c>
      <c r="C61" s="0" t="inlineStr">
        <is>
          <t>510500.SH</t>
        </is>
      </c>
      <c r="D61" s="0" t="n">
        <v>20000</v>
      </c>
      <c r="E61" s="0" t="n">
        <v>8.696</v>
      </c>
      <c r="F61" s="0" t="n">
        <v>173920</v>
      </c>
      <c r="G61" s="0" t="n">
        <v>8.443</v>
      </c>
      <c r="H61" s="0" t="inlineStr">
        <is>
          <t>-2.38%</t>
        </is>
      </c>
      <c r="I61" s="0" t="n">
        <v>279</v>
      </c>
      <c r="J61" s="0" t="n">
        <v>168860</v>
      </c>
      <c r="K61" s="0" t="n">
        <v>-5060</v>
      </c>
      <c r="L61" s="0" t="inlineStr">
        <is>
          <t>-2.91%</t>
        </is>
      </c>
      <c r="M61" s="0" t="inlineStr">
        <is>
          <t>10%</t>
        </is>
      </c>
      <c r="N61" s="0" t="inlineStr">
        <is>
          <t>3.37%</t>
        </is>
      </c>
      <c r="O61" s="0" t="inlineStr">
        <is>
          <t>-6.6%</t>
        </is>
      </c>
      <c r="P61" s="0" t="inlineStr">
        <is>
          <t>—</t>
        </is>
      </c>
      <c r="Q61" s="0" t="inlineStr">
        <is>
          <t>—</t>
        </is>
      </c>
    </row>
    <row r="62">
      <c r="A62" s="0" t="inlineStr">
        <is>
          <t>2026-05-29</t>
        </is>
      </c>
      <c r="B62" s="0" t="inlineStr">
        <is>
          <t>科创50</t>
        </is>
      </c>
      <c r="C62" s="0" t="inlineStr">
        <is>
          <t>588050.SH</t>
        </is>
      </c>
      <c r="D62" s="0" t="n">
        <v>60000</v>
      </c>
      <c r="E62" s="0" t="n">
        <v>1.838</v>
      </c>
      <c r="F62" s="0" t="n">
        <v>110280</v>
      </c>
      <c r="G62" s="0" t="n">
        <v>1.794</v>
      </c>
      <c r="H62" s="0" t="inlineStr">
        <is>
          <t>-5.18%</t>
        </is>
      </c>
      <c r="I62" s="0" t="n">
        <v>81</v>
      </c>
      <c r="J62" s="0" t="n">
        <v>107640</v>
      </c>
      <c r="K62" s="0" t="n">
        <v>-2640</v>
      </c>
      <c r="L62" s="0" t="inlineStr">
        <is>
          <t>-2.39%</t>
        </is>
      </c>
      <c r="M62" s="0" t="inlineStr">
        <is>
          <t>5%</t>
        </is>
      </c>
      <c r="N62" s="0" t="inlineStr">
        <is>
          <t>2.15%</t>
        </is>
      </c>
      <c r="O62" s="0" t="inlineStr">
        <is>
          <t>-2.8%</t>
        </is>
      </c>
      <c r="P62" s="0" t="inlineStr">
        <is>
          <t>—</t>
        </is>
      </c>
      <c r="Q62" s="0" t="inlineStr">
        <is>
          <t>—</t>
        </is>
      </c>
    </row>
    <row r="63">
      <c r="A63" s="0" t="inlineStr">
        <is>
          <t>2026-05-29</t>
        </is>
      </c>
      <c r="B63" s="0" t="inlineStr">
        <is>
          <t>创业板</t>
        </is>
      </c>
      <c r="C63" s="0" t="inlineStr">
        <is>
          <t>159915.SZ</t>
        </is>
      </c>
      <c r="D63" s="0" t="n">
        <v>63000</v>
      </c>
      <c r="E63" s="0" t="n">
        <v>3.968</v>
      </c>
      <c r="F63" s="0" t="n">
        <v>249984</v>
      </c>
      <c r="G63" s="0" t="n">
        <v>4.053</v>
      </c>
      <c r="H63" s="0" t="inlineStr">
        <is>
          <t>-2.05%</t>
        </is>
      </c>
      <c r="I63" s="0" t="n">
        <v>663</v>
      </c>
      <c r="J63" s="0" t="n">
        <v>255339</v>
      </c>
      <c r="K63" s="0" t="n">
        <v>5355</v>
      </c>
      <c r="L63" s="0" t="inlineStr">
        <is>
          <t>2.14%</t>
        </is>
      </c>
      <c r="M63" s="0" t="inlineStr">
        <is>
          <t>5%</t>
        </is>
      </c>
      <c r="N63" s="0" t="inlineStr">
        <is>
          <t>5.10%</t>
        </is>
      </c>
      <c r="O63" s="0" t="inlineStr">
        <is>
          <t>+0.1%</t>
        </is>
      </c>
      <c r="P63" s="0" t="inlineStr">
        <is>
          <t>—</t>
        </is>
      </c>
      <c r="Q63" s="0" t="inlineStr">
        <is>
          <t>—</t>
        </is>
      </c>
    </row>
    <row r="64">
      <c r="A64" s="0" t="inlineStr">
        <is>
          <t>2026-05-29</t>
        </is>
      </c>
      <c r="B64" s="0" t="inlineStr">
        <is>
          <t>红利低波</t>
        </is>
      </c>
      <c r="C64" s="0" t="inlineStr">
        <is>
          <t>512890.SH</t>
        </is>
      </c>
      <c r="D64" s="0" t="n">
        <v>218000</v>
      </c>
      <c r="E64" s="0" t="n">
        <v>1.15</v>
      </c>
      <c r="F64" s="0" t="n">
        <v>250700</v>
      </c>
      <c r="G64" s="0" t="n">
        <v>1.167</v>
      </c>
      <c r="H64" s="0" t="inlineStr">
        <is>
          <t>+2.01%</t>
        </is>
      </c>
      <c r="I64" s="0" t="n">
        <v>92</v>
      </c>
      <c r="J64" s="0" t="n">
        <v>254406</v>
      </c>
      <c r="K64" s="0" t="n">
        <v>3706</v>
      </c>
      <c r="L64" s="0" t="inlineStr">
        <is>
          <t>1.48%</t>
        </is>
      </c>
      <c r="M64" s="0" t="inlineStr">
        <is>
          <t>5%</t>
        </is>
      </c>
      <c r="N64" s="0" t="inlineStr">
        <is>
          <t>5.08%</t>
        </is>
      </c>
      <c r="O64" s="0" t="inlineStr">
        <is>
          <t>+0.1%</t>
        </is>
      </c>
      <c r="P64" s="0" t="inlineStr">
        <is>
          <t>—</t>
        </is>
      </c>
      <c r="Q64" s="0" t="inlineStr">
        <is>
          <t>—</t>
        </is>
      </c>
    </row>
    <row r="65">
      <c r="A65" s="0" t="inlineStr">
        <is>
          <t>2026-05-29</t>
        </is>
      </c>
      <c r="B65" s="0" t="inlineStr">
        <is>
          <t>十年国债</t>
        </is>
      </c>
      <c r="C65" s="0" t="inlineStr">
        <is>
          <t>511260.SH</t>
        </is>
      </c>
      <c r="D65" s="0" t="n">
        <v>3700</v>
      </c>
      <c r="E65" s="0" t="n">
        <v>135.645</v>
      </c>
      <c r="F65" s="0" t="n">
        <v>501886.5</v>
      </c>
      <c r="G65" s="0" t="n">
        <v>136.008</v>
      </c>
      <c r="H65" s="0" t="inlineStr">
        <is>
          <t>+0.02%</t>
        </is>
      </c>
      <c r="I65" s="0" t="n">
        <v>131</v>
      </c>
      <c r="J65" s="0" t="n">
        <v>503229.6</v>
      </c>
      <c r="K65" s="0" t="n">
        <v>1343.1</v>
      </c>
      <c r="L65" s="0" t="inlineStr">
        <is>
          <t>0.27%</t>
        </is>
      </c>
      <c r="M65" s="0" t="inlineStr">
        <is>
          <t>10%</t>
        </is>
      </c>
      <c r="N65" s="0" t="inlineStr">
        <is>
          <t>10.05%</t>
        </is>
      </c>
      <c r="O65" s="0" t="inlineStr">
        <is>
          <t>+0.1%</t>
        </is>
      </c>
      <c r="P65" s="0" t="inlineStr">
        <is>
          <t>—</t>
        </is>
      </c>
      <c r="Q65" s="0" t="inlineStr">
        <is>
          <t>—</t>
        </is>
      </c>
    </row>
    <row r="66">
      <c r="A66" s="0" t="inlineStr">
        <is>
          <t>2026-05-29</t>
        </is>
      </c>
      <c r="B66" s="0" t="inlineStr">
        <is>
          <t>五年国债</t>
        </is>
      </c>
      <c r="C66" s="0" t="inlineStr">
        <is>
          <t>511010.SH</t>
        </is>
      </c>
      <c r="D66" s="0" t="n">
        <v>3500</v>
      </c>
      <c r="E66" s="0" t="n">
        <v>141.2121</v>
      </c>
      <c r="F66" s="0" t="n">
        <v>494242.35</v>
      </c>
      <c r="G66" s="0" t="n">
        <v>141.499</v>
      </c>
      <c r="H66" s="0" t="inlineStr">
        <is>
          <t>+0.06%</t>
        </is>
      </c>
      <c r="I66" s="0" t="n">
        <v>94</v>
      </c>
      <c r="J66" s="0" t="n">
        <v>495246.5</v>
      </c>
      <c r="K66" s="0" t="n">
        <v>1004.15</v>
      </c>
      <c r="L66" s="0" t="inlineStr">
        <is>
          <t>0.20%</t>
        </is>
      </c>
      <c r="M66" s="0" t="inlineStr">
        <is>
          <t>10%</t>
        </is>
      </c>
      <c r="N66" s="0" t="inlineStr">
        <is>
          <t>9.90%</t>
        </is>
      </c>
      <c r="O66" s="0" t="inlineStr">
        <is>
          <t>-0.1%</t>
        </is>
      </c>
      <c r="P66" s="0" t="inlineStr">
        <is>
          <t>—</t>
        </is>
      </c>
      <c r="Q66" s="0" t="inlineStr">
        <is>
          <t>—</t>
        </is>
      </c>
    </row>
    <row r="67">
      <c r="A67" s="0" t="inlineStr">
        <is>
          <t>2026-05-29</t>
        </is>
      </c>
      <c r="B67" s="0" t="inlineStr">
        <is>
          <t>短融</t>
        </is>
      </c>
      <c r="C67" s="0" t="inlineStr">
        <is>
          <t>511360.SH</t>
        </is>
      </c>
      <c r="D67" s="0" t="n">
        <v>2200</v>
      </c>
      <c r="E67" s="0" t="n">
        <v>113.462</v>
      </c>
      <c r="F67" s="0" t="n">
        <v>249616.4</v>
      </c>
      <c r="G67" s="0" t="n">
        <v>113.525</v>
      </c>
      <c r="H67" s="0" t="inlineStr">
        <is>
          <t>+0.01%</t>
        </is>
      </c>
      <c r="I67" s="0" t="n">
        <v>1187</v>
      </c>
      <c r="J67" s="0" t="n">
        <v>249755</v>
      </c>
      <c r="K67" s="0" t="n">
        <v>138.6</v>
      </c>
      <c r="L67" s="0" t="inlineStr">
        <is>
          <t>0.06%</t>
        </is>
      </c>
      <c r="M67" s="0" t="inlineStr">
        <is>
          <t>5%</t>
        </is>
      </c>
      <c r="N67" s="0" t="inlineStr">
        <is>
          <t>4.99%</t>
        </is>
      </c>
      <c r="O67" s="0" t="inlineStr">
        <is>
          <t>-0.0%</t>
        </is>
      </c>
      <c r="P67" s="0" t="inlineStr">
        <is>
          <t>—</t>
        </is>
      </c>
      <c r="Q67" s="0" t="inlineStr">
        <is>
          <t>—</t>
        </is>
      </c>
    </row>
    <row r="68">
      <c r="A68" s="0" t="inlineStr">
        <is>
          <t>2026-05-29</t>
        </is>
      </c>
      <c r="B68" s="0" t="inlineStr">
        <is>
          <t>黄金</t>
        </is>
      </c>
      <c r="C68" s="0" t="inlineStr">
        <is>
          <t>518880.SH</t>
        </is>
      </c>
      <c r="D68" s="0" t="n">
        <v>39800</v>
      </c>
      <c r="E68" s="0" t="n">
        <v>9.396599999999999</v>
      </c>
      <c r="F68" s="0" t="n">
        <v>373984.68</v>
      </c>
      <c r="G68" s="0" t="n">
        <v>9.397</v>
      </c>
      <c r="H68" s="0" t="inlineStr">
        <is>
          <t>+2.90%</t>
        </is>
      </c>
      <c r="I68" s="0" t="n">
        <v>326</v>
      </c>
      <c r="J68" s="0" t="n">
        <v>374000.6</v>
      </c>
      <c r="K68" s="0" t="n">
        <v>15.92</v>
      </c>
      <c r="L68" s="0" t="inlineStr">
        <is>
          <t>0.00%</t>
        </is>
      </c>
      <c r="M68" s="0" t="inlineStr">
        <is>
          <t>15%</t>
        </is>
      </c>
      <c r="N68" s="0" t="inlineStr">
        <is>
          <t>7.47%</t>
        </is>
      </c>
      <c r="O68" s="0" t="inlineStr">
        <is>
          <t>-7.5%</t>
        </is>
      </c>
      <c r="P68" s="0" t="inlineStr">
        <is>
          <t>—</t>
        </is>
      </c>
      <c r="Q68" s="0" t="inlineStr">
        <is>
          <t>—</t>
        </is>
      </c>
    </row>
    <row r="69">
      <c r="A69" s="0" t="inlineStr">
        <is>
          <t>2026-05-29</t>
        </is>
      </c>
      <c r="B69" s="0" t="inlineStr">
        <is>
          <t>华宝添益</t>
        </is>
      </c>
      <c r="C69" s="0" t="inlineStr">
        <is>
          <t>511990.SH</t>
        </is>
      </c>
      <c r="D69" s="0" t="n">
        <v>2500</v>
      </c>
      <c r="E69" s="0" t="n">
        <v>99.997</v>
      </c>
      <c r="F69" s="0" t="n">
        <v>249992.5</v>
      </c>
      <c r="G69" s="0" t="n">
        <v>100.003</v>
      </c>
      <c r="H69" s="0" t="inlineStr">
        <is>
          <t>+0.01%</t>
        </is>
      </c>
      <c r="I69" s="0" t="n">
        <v>1170</v>
      </c>
      <c r="J69" s="0" t="n">
        <v>250007.5</v>
      </c>
      <c r="K69" s="0" t="n">
        <v>15</v>
      </c>
      <c r="L69" s="0" t="inlineStr">
        <is>
          <t>0.01%</t>
        </is>
      </c>
      <c r="M69" s="0" t="inlineStr">
        <is>
          <t>5%</t>
        </is>
      </c>
      <c r="N69" s="0" t="inlineStr">
        <is>
          <t>5.00%</t>
        </is>
      </c>
      <c r="O69" s="0" t="inlineStr">
        <is>
          <t>-0.0%</t>
        </is>
      </c>
      <c r="P69" s="0" t="inlineStr">
        <is>
          <t>—</t>
        </is>
      </c>
      <c r="Q69" s="0" t="inlineStr">
        <is>
          <t>—</t>
        </is>
      </c>
    </row>
    <row r="70">
      <c r="A70" s="0" t="inlineStr">
        <is>
          <t>2026-06-01</t>
        </is>
      </c>
      <c r="B70" s="0" t="inlineStr">
        <is>
          <t>沪深300</t>
        </is>
      </c>
      <c r="C70" s="0" t="inlineStr">
        <is>
          <t>510300.SH</t>
        </is>
      </c>
      <c r="D70" s="0" t="n">
        <v>110000</v>
      </c>
      <c r="E70" s="0" t="n">
        <v>4.914</v>
      </c>
      <c r="F70" s="0" t="n">
        <v>540540</v>
      </c>
      <c r="G70" s="0" t="n">
        <v>4.868</v>
      </c>
      <c r="H70" s="0" t="inlineStr">
        <is>
          <t>-1.12%</t>
        </is>
      </c>
      <c r="I70" s="0" t="n">
        <v>244</v>
      </c>
      <c r="J70" s="0" t="n">
        <v>535480</v>
      </c>
      <c r="K70" s="0" t="n">
        <v>-5060</v>
      </c>
      <c r="L70" s="0" t="inlineStr">
        <is>
          <t>-0.94%</t>
        </is>
      </c>
      <c r="M70" s="0" t="inlineStr">
        <is>
          <t>15%</t>
        </is>
      </c>
      <c r="N70" s="0" t="inlineStr">
        <is>
          <t>10.74%</t>
        </is>
      </c>
      <c r="O70" s="0" t="inlineStr">
        <is>
          <t>-4.3%</t>
        </is>
      </c>
      <c r="P70" s="0" t="inlineStr">
        <is>
          <t>—</t>
        </is>
      </c>
      <c r="Q70" s="0" t="inlineStr">
        <is>
          <t>—</t>
        </is>
      </c>
    </row>
    <row r="71">
      <c r="A71" s="0" t="inlineStr">
        <is>
          <t>2026-06-01</t>
        </is>
      </c>
      <c r="B71" s="0" t="inlineStr">
        <is>
          <t>中证500</t>
        </is>
      </c>
      <c r="C71" s="0" t="inlineStr">
        <is>
          <t>510500.SH</t>
        </is>
      </c>
      <c r="D71" s="0" t="n">
        <v>20000</v>
      </c>
      <c r="E71" s="0" t="n">
        <v>8.696</v>
      </c>
      <c r="F71" s="0" t="n">
        <v>173920</v>
      </c>
      <c r="G71" s="0" t="n">
        <v>8.369999999999999</v>
      </c>
      <c r="H71" s="0" t="inlineStr">
        <is>
          <t>-0.87%</t>
        </is>
      </c>
      <c r="I71" s="0" t="n">
        <v>344</v>
      </c>
      <c r="J71" s="0" t="n">
        <v>167400</v>
      </c>
      <c r="K71" s="0" t="n">
        <v>-6520</v>
      </c>
      <c r="L71" s="0" t="inlineStr">
        <is>
          <t>-3.75%</t>
        </is>
      </c>
      <c r="M71" s="0" t="inlineStr">
        <is>
          <t>10%</t>
        </is>
      </c>
      <c r="N71" s="0" t="inlineStr">
        <is>
          <t>3.36%</t>
        </is>
      </c>
      <c r="O71" s="0" t="inlineStr">
        <is>
          <t>-6.6%</t>
        </is>
      </c>
      <c r="P71" s="0" t="inlineStr">
        <is>
          <t>—</t>
        </is>
      </c>
      <c r="Q71" s="0" t="inlineStr">
        <is>
          <t>—</t>
        </is>
      </c>
    </row>
    <row r="72">
      <c r="A72" s="0" t="inlineStr">
        <is>
          <t>2026-06-01</t>
        </is>
      </c>
      <c r="B72" s="0" t="inlineStr">
        <is>
          <t>科创50</t>
        </is>
      </c>
      <c r="C72" s="0" t="inlineStr">
        <is>
          <t>588050.SH</t>
        </is>
      </c>
      <c r="D72" s="0" t="n">
        <v>60000</v>
      </c>
      <c r="E72" s="0" t="n">
        <v>1.838</v>
      </c>
      <c r="F72" s="0" t="n">
        <v>110280</v>
      </c>
      <c r="G72" s="0" t="n">
        <v>1.707</v>
      </c>
      <c r="H72" s="0" t="inlineStr">
        <is>
          <t>-4.85%</t>
        </is>
      </c>
      <c r="I72" s="0" t="n">
        <v>44</v>
      </c>
      <c r="J72" s="0" t="n">
        <v>102420</v>
      </c>
      <c r="K72" s="0" t="n">
        <v>-7860</v>
      </c>
      <c r="L72" s="0" t="inlineStr">
        <is>
          <t>-7.13%</t>
        </is>
      </c>
      <c r="M72" s="0" t="inlineStr">
        <is>
          <t>5%</t>
        </is>
      </c>
      <c r="N72" s="0" t="inlineStr">
        <is>
          <t>2.05%</t>
        </is>
      </c>
      <c r="O72" s="0" t="inlineStr">
        <is>
          <t>-2.9%</t>
        </is>
      </c>
      <c r="P72" s="0" t="inlineStr">
        <is>
          <t>—</t>
        </is>
      </c>
      <c r="Q72" s="0" t="inlineStr">
        <is>
          <t>预警</t>
        </is>
      </c>
    </row>
    <row r="73">
      <c r="A73" s="0" t="inlineStr">
        <is>
          <t>2026-06-01</t>
        </is>
      </c>
      <c r="B73" s="0" t="inlineStr">
        <is>
          <t>创业板</t>
        </is>
      </c>
      <c r="C73" s="0" t="inlineStr">
        <is>
          <t>159915.SZ</t>
        </is>
      </c>
      <c r="D73" s="0" t="n">
        <v>63000</v>
      </c>
      <c r="E73" s="0" t="n">
        <v>3.968</v>
      </c>
      <c r="F73" s="0" t="n">
        <v>249984</v>
      </c>
      <c r="G73" s="0" t="n">
        <v>3.964</v>
      </c>
      <c r="H73" s="0" t="inlineStr">
        <is>
          <t>-2.20%</t>
        </is>
      </c>
      <c r="I73" s="0" t="n">
        <v>533</v>
      </c>
      <c r="J73" s="0" t="n">
        <v>249732</v>
      </c>
      <c r="K73" s="0" t="n">
        <v>-252</v>
      </c>
      <c r="L73" s="0" t="inlineStr">
        <is>
          <t>-0.10%</t>
        </is>
      </c>
      <c r="M73" s="0" t="inlineStr">
        <is>
          <t>5%</t>
        </is>
      </c>
      <c r="N73" s="0" t="inlineStr">
        <is>
          <t>5.01%</t>
        </is>
      </c>
      <c r="O73" s="0" t="inlineStr">
        <is>
          <t>+0.0%</t>
        </is>
      </c>
      <c r="P73" s="0" t="inlineStr">
        <is>
          <t>—</t>
        </is>
      </c>
      <c r="Q73" s="0" t="inlineStr">
        <is>
          <t>—</t>
        </is>
      </c>
    </row>
    <row r="74">
      <c r="A74" s="0" t="inlineStr">
        <is>
          <t>2026-06-01</t>
        </is>
      </c>
      <c r="B74" s="0" t="inlineStr">
        <is>
          <t>红利低波</t>
        </is>
      </c>
      <c r="C74" s="0" t="inlineStr">
        <is>
          <t>512890.SH</t>
        </is>
      </c>
      <c r="D74" s="0" t="n">
        <v>218000</v>
      </c>
      <c r="E74" s="0" t="n">
        <v>1.15</v>
      </c>
      <c r="F74" s="0" t="n">
        <v>250700</v>
      </c>
      <c r="G74" s="0" t="n">
        <v>1.181</v>
      </c>
      <c r="H74" s="0" t="inlineStr">
        <is>
          <t>+1.20%</t>
        </is>
      </c>
      <c r="I74" s="0" t="n">
        <v>96</v>
      </c>
      <c r="J74" s="0" t="n">
        <v>257458</v>
      </c>
      <c r="K74" s="0" t="n">
        <v>6758</v>
      </c>
      <c r="L74" s="0" t="inlineStr">
        <is>
          <t>2.70%</t>
        </is>
      </c>
      <c r="M74" s="0" t="inlineStr">
        <is>
          <t>5%</t>
        </is>
      </c>
      <c r="N74" s="0" t="inlineStr">
        <is>
          <t>5.16%</t>
        </is>
      </c>
      <c r="O74" s="0" t="inlineStr">
        <is>
          <t>+0.2%</t>
        </is>
      </c>
      <c r="P74" s="0" t="inlineStr">
        <is>
          <t>—</t>
        </is>
      </c>
      <c r="Q74" s="0" t="inlineStr">
        <is>
          <t>—</t>
        </is>
      </c>
    </row>
    <row r="75">
      <c r="A75" s="0" t="inlineStr">
        <is>
          <t>2026-06-01</t>
        </is>
      </c>
      <c r="B75" s="0" t="inlineStr">
        <is>
          <t>十年国债</t>
        </is>
      </c>
      <c r="C75" s="0" t="inlineStr">
        <is>
          <t>511260.SH</t>
        </is>
      </c>
      <c r="D75" s="0" t="n">
        <v>3700</v>
      </c>
      <c r="E75" s="0" t="n">
        <v>135.645</v>
      </c>
      <c r="F75" s="0" t="n">
        <v>501886.5</v>
      </c>
      <c r="G75" s="0" t="n">
        <v>136.091</v>
      </c>
      <c r="H75" s="0" t="inlineStr">
        <is>
          <t>+0.06%</t>
        </is>
      </c>
      <c r="I75" s="0" t="n">
        <v>127</v>
      </c>
      <c r="J75" s="0" t="n">
        <v>503536.7</v>
      </c>
      <c r="K75" s="0" t="n">
        <v>1650.2</v>
      </c>
      <c r="L75" s="0" t="inlineStr">
        <is>
          <t>0.33%</t>
        </is>
      </c>
      <c r="M75" s="0" t="inlineStr">
        <is>
          <t>10%</t>
        </is>
      </c>
      <c r="N75" s="0" t="inlineStr">
        <is>
          <t>10.10%</t>
        </is>
      </c>
      <c r="O75" s="0" t="inlineStr">
        <is>
          <t>+0.1%</t>
        </is>
      </c>
      <c r="P75" s="0" t="inlineStr">
        <is>
          <t>—</t>
        </is>
      </c>
      <c r="Q75" s="0" t="inlineStr">
        <is>
          <t>—</t>
        </is>
      </c>
    </row>
    <row r="76">
      <c r="A76" s="0" t="inlineStr">
        <is>
          <t>2026-06-01</t>
        </is>
      </c>
      <c r="B76" s="0" t="inlineStr">
        <is>
          <t>五年国债</t>
        </is>
      </c>
      <c r="C76" s="0" t="inlineStr">
        <is>
          <t>511010.SH</t>
        </is>
      </c>
      <c r="D76" s="0" t="n">
        <v>3500</v>
      </c>
      <c r="E76" s="0" t="n">
        <v>141.2121</v>
      </c>
      <c r="F76" s="0" t="n">
        <v>494242.35</v>
      </c>
      <c r="G76" s="0" t="n">
        <v>141.504</v>
      </c>
      <c r="H76" s="0" t="inlineStr">
        <is>
          <t>+0.00%</t>
        </is>
      </c>
      <c r="I76" s="0" t="n">
        <v>38</v>
      </c>
      <c r="J76" s="0" t="n">
        <v>495264</v>
      </c>
      <c r="K76" s="0" t="n">
        <v>1021.65</v>
      </c>
      <c r="L76" s="0" t="inlineStr">
        <is>
          <t>0.21%</t>
        </is>
      </c>
      <c r="M76" s="0" t="inlineStr">
        <is>
          <t>10%</t>
        </is>
      </c>
      <c r="N76" s="0" t="inlineStr">
        <is>
          <t>9.93%</t>
        </is>
      </c>
      <c r="O76" s="0" t="inlineStr">
        <is>
          <t>-0.1%</t>
        </is>
      </c>
      <c r="P76" s="0" t="inlineStr">
        <is>
          <t>—</t>
        </is>
      </c>
      <c r="Q76" s="0" t="inlineStr">
        <is>
          <t>—</t>
        </is>
      </c>
    </row>
    <row r="77">
      <c r="A77" s="0" t="inlineStr">
        <is>
          <t>2026-06-01</t>
        </is>
      </c>
      <c r="B77" s="0" t="inlineStr">
        <is>
          <t>短融</t>
        </is>
      </c>
      <c r="C77" s="0" t="inlineStr">
        <is>
          <t>511360.SH</t>
        </is>
      </c>
      <c r="D77" s="0" t="n">
        <v>2200</v>
      </c>
      <c r="E77" s="0" t="n">
        <v>113.462</v>
      </c>
      <c r="F77" s="0" t="n">
        <v>249616.4</v>
      </c>
      <c r="G77" s="0" t="n">
        <v>113.525</v>
      </c>
      <c r="H77" s="0" t="inlineStr">
        <is>
          <t>+0.00%</t>
        </is>
      </c>
      <c r="I77" s="0" t="n">
        <v>1357</v>
      </c>
      <c r="J77" s="0" t="n">
        <v>249755</v>
      </c>
      <c r="K77" s="0" t="n">
        <v>138.6</v>
      </c>
      <c r="L77" s="0" t="inlineStr">
        <is>
          <t>0.06%</t>
        </is>
      </c>
      <c r="M77" s="0" t="inlineStr">
        <is>
          <t>5%</t>
        </is>
      </c>
      <c r="N77" s="0" t="inlineStr">
        <is>
          <t>5.01%</t>
        </is>
      </c>
      <c r="O77" s="0" t="inlineStr">
        <is>
          <t>+0.0%</t>
        </is>
      </c>
      <c r="P77" s="0" t="inlineStr">
        <is>
          <t>—</t>
        </is>
      </c>
      <c r="Q77" s="0" t="inlineStr">
        <is>
          <t>—</t>
        </is>
      </c>
    </row>
    <row r="78">
      <c r="A78" s="0" t="inlineStr">
        <is>
          <t>2026-06-01</t>
        </is>
      </c>
      <c r="B78" s="0" t="inlineStr">
        <is>
          <t>黄金</t>
        </is>
      </c>
      <c r="C78" s="0" t="inlineStr">
        <is>
          <t>518880.SH</t>
        </is>
      </c>
      <c r="D78" s="0" t="n">
        <v>39800</v>
      </c>
      <c r="E78" s="0" t="n">
        <v>9.396599999999999</v>
      </c>
      <c r="F78" s="0" t="n">
        <v>373984.68</v>
      </c>
      <c r="G78" s="0" t="n">
        <v>9.343999999999999</v>
      </c>
      <c r="H78" s="0" t="inlineStr">
        <is>
          <t>-0.56%</t>
        </is>
      </c>
      <c r="I78" s="0" t="n">
        <v>243</v>
      </c>
      <c r="J78" s="0" t="n">
        <v>371891.2</v>
      </c>
      <c r="K78" s="0" t="n">
        <v>-2093.48</v>
      </c>
      <c r="L78" s="0" t="inlineStr">
        <is>
          <t>-0.56%</t>
        </is>
      </c>
      <c r="M78" s="0" t="inlineStr">
        <is>
          <t>15%</t>
        </is>
      </c>
      <c r="N78" s="0" t="inlineStr">
        <is>
          <t>7.46%</t>
        </is>
      </c>
      <c r="O78" s="0" t="inlineStr">
        <is>
          <t>-7.5%</t>
        </is>
      </c>
      <c r="P78" s="0" t="inlineStr">
        <is>
          <t>—</t>
        </is>
      </c>
      <c r="Q78" s="0" t="inlineStr">
        <is>
          <t>—</t>
        </is>
      </c>
    </row>
    <row r="79">
      <c r="A79" s="0" t="inlineStr">
        <is>
          <t>2026-06-01</t>
        </is>
      </c>
      <c r="B79" s="0" t="inlineStr">
        <is>
          <t>华宝添益</t>
        </is>
      </c>
      <c r="C79" s="0" t="inlineStr">
        <is>
          <t>511990.SH</t>
        </is>
      </c>
      <c r="D79" s="0" t="n">
        <v>2500</v>
      </c>
      <c r="E79" s="0" t="n">
        <v>99.997</v>
      </c>
      <c r="F79" s="0" t="n">
        <v>249992.5</v>
      </c>
      <c r="G79" s="0" t="n">
        <v>99.996</v>
      </c>
      <c r="H79" s="0" t="inlineStr">
        <is>
          <t>-0.01%</t>
        </is>
      </c>
      <c r="I79" s="0" t="n">
        <v>1103</v>
      </c>
      <c r="J79" s="0" t="n">
        <v>249990</v>
      </c>
      <c r="K79" s="0" t="n">
        <v>-2.5</v>
      </c>
      <c r="L79" s="0" t="inlineStr">
        <is>
          <t>-0.00%</t>
        </is>
      </c>
      <c r="M79" s="0" t="inlineStr">
        <is>
          <t>5%</t>
        </is>
      </c>
      <c r="N79" s="0" t="inlineStr">
        <is>
          <t>5.01%</t>
        </is>
      </c>
      <c r="O79" s="0" t="inlineStr">
        <is>
          <t>+0.0%</t>
        </is>
      </c>
      <c r="P79" s="0" t="inlineStr">
        <is>
          <t>—</t>
        </is>
      </c>
      <c r="Q79" s="0" t="inlineStr">
        <is>
          <t>—</t>
        </is>
      </c>
    </row>
    <row r="80">
      <c r="A80" s="0" t="inlineStr">
        <is>
          <t>20260601</t>
        </is>
      </c>
      <c r="B80" s="0" t="inlineStr">
        <is>
          <t>沪深300ETF</t>
        </is>
      </c>
      <c r="C80" s="0" t="inlineStr">
        <is>
          <t>510300</t>
        </is>
      </c>
      <c r="H80" s="0" t="n">
        <v>4.868</v>
      </c>
      <c r="I80" s="0" t="n">
        <v>-5060</v>
      </c>
      <c r="J80" s="0" t="n">
        <v>-0.0094</v>
      </c>
      <c r="N80" s="0" t="inlineStr">
        <is>
          <t>📊权重预警偏离-4.3%</t>
        </is>
      </c>
    </row>
    <row r="81">
      <c r="A81" s="0" t="inlineStr">
        <is>
          <t>20260601</t>
        </is>
      </c>
      <c r="B81" s="0" t="inlineStr">
        <is>
          <t>中证500ETF</t>
        </is>
      </c>
      <c r="C81" s="0" t="inlineStr">
        <is>
          <t>510500</t>
        </is>
      </c>
      <c r="H81" s="0" t="n">
        <v>8.369999999999999</v>
      </c>
      <c r="I81" s="0" t="n">
        <v>-6520</v>
      </c>
      <c r="J81" s="0" t="n">
        <v>-0.0375</v>
      </c>
      <c r="N81" s="0" t="inlineStr">
        <is>
          <t>📊权重预警偏离-6.6%</t>
        </is>
      </c>
    </row>
    <row r="82">
      <c r="A82" s="0" t="inlineStr">
        <is>
          <t>20260601</t>
        </is>
      </c>
      <c r="B82" s="0" t="inlineStr">
        <is>
          <t>科创50ETF</t>
        </is>
      </c>
      <c r="C82" s="0" t="inlineStr">
        <is>
          <t>588050</t>
        </is>
      </c>
      <c r="H82" s="0" t="n">
        <v>1.707</v>
      </c>
      <c r="I82" s="0" t="n">
        <v>-7860</v>
      </c>
      <c r="J82" s="0" t="n">
        <v>-0.0713</v>
      </c>
      <c r="N82" s="0" t="inlineStr">
        <is>
          <t>⚡预警：浮亏-7.1% &gt;= -5%，暂停新增买入</t>
        </is>
      </c>
    </row>
    <row r="83">
      <c r="A83" s="0" t="inlineStr">
        <is>
          <t>20260601</t>
        </is>
      </c>
      <c r="B83" s="0" t="inlineStr">
        <is>
          <t>创业板ETF</t>
        </is>
      </c>
      <c r="C83" s="0" t="inlineStr">
        <is>
          <t>159915</t>
        </is>
      </c>
      <c r="H83" s="0" t="n">
        <v>3.964</v>
      </c>
      <c r="I83" s="0" t="n">
        <v>-252</v>
      </c>
      <c r="J83" s="0" t="n">
        <v>-0.001</v>
      </c>
      <c r="N83" s="0" t="inlineStr">
        <is>
          <t>—</t>
        </is>
      </c>
    </row>
    <row r="84">
      <c r="A84" s="0" t="inlineStr">
        <is>
          <t>20260601</t>
        </is>
      </c>
      <c r="B84" s="0" t="inlineStr">
        <is>
          <t>红利低波ETF</t>
        </is>
      </c>
      <c r="C84" s="0" t="inlineStr">
        <is>
          <t>512890</t>
        </is>
      </c>
      <c r="H84" s="0" t="n">
        <v>1.181</v>
      </c>
      <c r="I84" s="0" t="n">
        <v>6758</v>
      </c>
      <c r="J84" s="0" t="n">
        <v>0.027</v>
      </c>
      <c r="N84" s="0" t="inlineStr">
        <is>
          <t>—</t>
        </is>
      </c>
    </row>
    <row r="85">
      <c r="A85" s="0" t="inlineStr">
        <is>
          <t>20260601</t>
        </is>
      </c>
      <c r="B85" s="0" t="inlineStr">
        <is>
          <t>可转债ETF</t>
        </is>
      </c>
      <c r="C85" s="0" t="inlineStr">
        <is>
          <t>511380</t>
        </is>
      </c>
      <c r="H85" s="0" t="n">
        <v>14.037</v>
      </c>
      <c r="I85" s="0" t="n">
        <v>0</v>
      </c>
      <c r="N85" s="0" t="inlineStr">
        <is>
          <t>—</t>
        </is>
      </c>
    </row>
    <row r="86">
      <c r="A86" s="0" t="inlineStr">
        <is>
          <t>20260601</t>
        </is>
      </c>
      <c r="B86" s="0" t="inlineStr">
        <is>
          <t>10年国债ETF</t>
        </is>
      </c>
      <c r="C86" s="0" t="inlineStr">
        <is>
          <t>511260</t>
        </is>
      </c>
      <c r="H86" s="0" t="n">
        <v>136.091</v>
      </c>
      <c r="I86" s="0" t="n">
        <v>1650.2</v>
      </c>
      <c r="J86" s="0" t="n">
        <v>0.0033</v>
      </c>
      <c r="N86" s="0" t="inlineStr">
        <is>
          <t>—</t>
        </is>
      </c>
    </row>
    <row r="87">
      <c r="A87" s="0" t="inlineStr">
        <is>
          <t>20260601</t>
        </is>
      </c>
      <c r="B87" s="0" t="inlineStr">
        <is>
          <t>5年国债ETF</t>
        </is>
      </c>
      <c r="C87" s="0" t="inlineStr">
        <is>
          <t>511010</t>
        </is>
      </c>
      <c r="H87" s="0" t="n">
        <v>141.504</v>
      </c>
      <c r="I87" s="0" t="n">
        <v>1021.65</v>
      </c>
      <c r="J87" s="0" t="n">
        <v>0.0021</v>
      </c>
      <c r="N87" s="0" t="inlineStr">
        <is>
          <t>—</t>
        </is>
      </c>
    </row>
    <row r="88">
      <c r="A88" s="0" t="inlineStr">
        <is>
          <t>20260601</t>
        </is>
      </c>
      <c r="B88" s="0" t="inlineStr">
        <is>
          <t>短融ETF</t>
        </is>
      </c>
      <c r="C88" s="0" t="inlineStr">
        <is>
          <t>511360</t>
        </is>
      </c>
      <c r="H88" s="0" t="n">
        <v>113.525</v>
      </c>
      <c r="I88" s="0" t="n">
        <v>138.6</v>
      </c>
      <c r="J88" s="0" t="n">
        <v>0.0005999999999999999</v>
      </c>
      <c r="N88" s="0" t="inlineStr">
        <is>
          <t>—</t>
        </is>
      </c>
    </row>
    <row r="89">
      <c r="A89" s="0" t="inlineStr">
        <is>
          <t>20260601</t>
        </is>
      </c>
      <c r="B89" s="0" t="inlineStr">
        <is>
          <t>黄金ETF</t>
        </is>
      </c>
      <c r="C89" s="0" t="inlineStr">
        <is>
          <t>518880</t>
        </is>
      </c>
      <c r="H89" s="0" t="n">
        <v>9.343999999999999</v>
      </c>
      <c r="I89" s="0" t="n">
        <v>-2093.48</v>
      </c>
      <c r="J89" s="0" t="n">
        <v>-0.0056</v>
      </c>
      <c r="N89" s="0" t="inlineStr">
        <is>
          <t>⚠️权重触发线偏离-7.5%</t>
        </is>
      </c>
    </row>
    <row r="90">
      <c r="A90" s="0" t="inlineStr">
        <is>
          <t>20260601</t>
        </is>
      </c>
      <c r="B90" s="0" t="inlineStr">
        <is>
          <t>银华日利ETF</t>
        </is>
      </c>
      <c r="C90" s="0" t="inlineStr">
        <is>
          <t>511880</t>
        </is>
      </c>
      <c r="H90" s="0" t="n">
        <v>100.483</v>
      </c>
      <c r="I90" s="0" t="n">
        <v>0</v>
      </c>
      <c r="N90" s="0" t="inlineStr">
        <is>
          <t>—</t>
        </is>
      </c>
    </row>
    <row r="91">
      <c r="A91" s="0" t="inlineStr">
        <is>
          <t>20260601</t>
        </is>
      </c>
      <c r="B91" s="0" t="inlineStr">
        <is>
          <t>华宝添益ETF</t>
        </is>
      </c>
      <c r="C91" s="0" t="inlineStr">
        <is>
          <t>511990</t>
        </is>
      </c>
      <c r="H91" s="0" t="n">
        <v>99.996</v>
      </c>
      <c r="I91" s="0" t="n">
        <v>-2.5</v>
      </c>
      <c r="J91" s="0" t="n">
        <v>0</v>
      </c>
      <c r="N91" s="0" t="inlineStr">
        <is>
          <t>—</t>
        </is>
      </c>
    </row>
    <row r="92">
      <c r="A92" s="0" t="inlineStr">
        <is>
          <t>20260601</t>
        </is>
      </c>
      <c r="B92" s="0" t="inlineStr">
        <is>
          <t>沪深300ETF</t>
        </is>
      </c>
      <c r="C92" s="0" t="inlineStr">
        <is>
          <t>510300</t>
        </is>
      </c>
      <c r="H92" s="0" t="n">
        <v>4.868</v>
      </c>
      <c r="I92" s="0" t="n">
        <v>-5060</v>
      </c>
      <c r="J92" s="0" t="n">
        <v>-0.0094</v>
      </c>
      <c r="N92" s="0" t="inlineStr">
        <is>
          <t>📊权重预警偏离-4.3%</t>
        </is>
      </c>
    </row>
    <row r="93">
      <c r="A93" s="0" t="inlineStr">
        <is>
          <t>20260601</t>
        </is>
      </c>
      <c r="B93" s="0" t="inlineStr">
        <is>
          <t>中证500ETF</t>
        </is>
      </c>
      <c r="C93" s="0" t="inlineStr">
        <is>
          <t>510500</t>
        </is>
      </c>
      <c r="H93" s="0" t="n">
        <v>8.369999999999999</v>
      </c>
      <c r="I93" s="0" t="n">
        <v>-6520</v>
      </c>
      <c r="J93" s="0" t="n">
        <v>-0.0375</v>
      </c>
      <c r="N93" s="0" t="inlineStr">
        <is>
          <t>📊权重预警偏离-6.6%</t>
        </is>
      </c>
    </row>
    <row r="94">
      <c r="A94" s="0" t="inlineStr">
        <is>
          <t>20260601</t>
        </is>
      </c>
      <c r="B94" s="0" t="inlineStr">
        <is>
          <t>科创50ETF</t>
        </is>
      </c>
      <c r="C94" s="0" t="inlineStr">
        <is>
          <t>588050</t>
        </is>
      </c>
      <c r="H94" s="0" t="n">
        <v>1.707</v>
      </c>
      <c r="I94" s="0" t="n">
        <v>-7860</v>
      </c>
      <c r="J94" s="0" t="n">
        <v>-0.0713</v>
      </c>
      <c r="N94" s="0" t="inlineStr">
        <is>
          <t>⚡预警：浮亏-7.1% &gt;= -5%，暂停新增买入</t>
        </is>
      </c>
    </row>
    <row r="95">
      <c r="A95" s="0" t="inlineStr">
        <is>
          <t>20260601</t>
        </is>
      </c>
      <c r="B95" s="0" t="inlineStr">
        <is>
          <t>创业板ETF</t>
        </is>
      </c>
      <c r="C95" s="0" t="inlineStr">
        <is>
          <t>159915</t>
        </is>
      </c>
      <c r="H95" s="0" t="n">
        <v>3.964</v>
      </c>
      <c r="I95" s="0" t="n">
        <v>-252</v>
      </c>
      <c r="J95" s="0" t="n">
        <v>-0.001</v>
      </c>
      <c r="N95" s="0" t="inlineStr">
        <is>
          <t>—</t>
        </is>
      </c>
    </row>
    <row r="96">
      <c r="A96" s="0" t="inlineStr">
        <is>
          <t>20260601</t>
        </is>
      </c>
      <c r="B96" s="0" t="inlineStr">
        <is>
          <t>红利低波ETF</t>
        </is>
      </c>
      <c r="C96" s="0" t="inlineStr">
        <is>
          <t>512890</t>
        </is>
      </c>
      <c r="H96" s="0" t="n">
        <v>1.181</v>
      </c>
      <c r="I96" s="0" t="n">
        <v>6758</v>
      </c>
      <c r="J96" s="0" t="n">
        <v>0.027</v>
      </c>
      <c r="N96" s="0" t="inlineStr">
        <is>
          <t>—</t>
        </is>
      </c>
    </row>
    <row r="97">
      <c r="A97" s="0" t="inlineStr">
        <is>
          <t>20260601</t>
        </is>
      </c>
      <c r="B97" s="0" t="inlineStr">
        <is>
          <t>可转债ETF</t>
        </is>
      </c>
      <c r="C97" s="0" t="inlineStr">
        <is>
          <t>511380</t>
        </is>
      </c>
      <c r="H97" s="0" t="n">
        <v>14.037</v>
      </c>
      <c r="I97" s="0" t="n">
        <v>0</v>
      </c>
      <c r="N97" s="0" t="inlineStr">
        <is>
          <t>—</t>
        </is>
      </c>
    </row>
    <row r="98">
      <c r="A98" s="0" t="inlineStr">
        <is>
          <t>20260601</t>
        </is>
      </c>
      <c r="B98" s="0" t="inlineStr">
        <is>
          <t>10年国债ETF</t>
        </is>
      </c>
      <c r="C98" s="0" t="inlineStr">
        <is>
          <t>511260</t>
        </is>
      </c>
      <c r="H98" s="0" t="n">
        <v>136.091</v>
      </c>
      <c r="I98" s="0" t="n">
        <v>1650.2</v>
      </c>
      <c r="J98" s="0" t="n">
        <v>0.0033</v>
      </c>
      <c r="N98" s="0" t="inlineStr">
        <is>
          <t>—</t>
        </is>
      </c>
    </row>
    <row r="99">
      <c r="A99" s="0" t="inlineStr">
        <is>
          <t>20260601</t>
        </is>
      </c>
      <c r="B99" s="0" t="inlineStr">
        <is>
          <t>5年国债ETF</t>
        </is>
      </c>
      <c r="C99" s="0" t="inlineStr">
        <is>
          <t>511010</t>
        </is>
      </c>
      <c r="H99" s="0" t="n">
        <v>141.504</v>
      </c>
      <c r="I99" s="0" t="n">
        <v>1021.65</v>
      </c>
      <c r="J99" s="0" t="n">
        <v>0.0021</v>
      </c>
      <c r="N99" s="0" t="inlineStr">
        <is>
          <t>—</t>
        </is>
      </c>
    </row>
    <row r="100">
      <c r="A100" s="0" t="inlineStr">
        <is>
          <t>20260601</t>
        </is>
      </c>
      <c r="B100" s="0" t="inlineStr">
        <is>
          <t>短融ETF</t>
        </is>
      </c>
      <c r="C100" s="0" t="inlineStr">
        <is>
          <t>511360</t>
        </is>
      </c>
      <c r="H100" s="0" t="n">
        <v>113.525</v>
      </c>
      <c r="I100" s="0" t="n">
        <v>138.6</v>
      </c>
      <c r="J100" s="0" t="n">
        <v>0.0005999999999999999</v>
      </c>
      <c r="N100" s="0" t="inlineStr">
        <is>
          <t>—</t>
        </is>
      </c>
    </row>
    <row r="101">
      <c r="A101" s="0" t="inlineStr">
        <is>
          <t>20260601</t>
        </is>
      </c>
      <c r="B101" s="0" t="inlineStr">
        <is>
          <t>黄金ETF</t>
        </is>
      </c>
      <c r="C101" s="0" t="inlineStr">
        <is>
          <t>518880</t>
        </is>
      </c>
      <c r="H101" s="0" t="n">
        <v>9.343999999999999</v>
      </c>
      <c r="I101" s="0" t="n">
        <v>-2093.48</v>
      </c>
      <c r="J101" s="0" t="n">
        <v>-0.0056</v>
      </c>
      <c r="N101" s="0" t="inlineStr">
        <is>
          <t>⚠️权重触发线偏离-7.5%</t>
        </is>
      </c>
    </row>
    <row r="102">
      <c r="A102" s="0" t="inlineStr">
        <is>
          <t>20260601</t>
        </is>
      </c>
      <c r="B102" s="0" t="inlineStr">
        <is>
          <t>银华日利ETF</t>
        </is>
      </c>
      <c r="C102" s="0" t="inlineStr">
        <is>
          <t>511880</t>
        </is>
      </c>
      <c r="H102" s="0" t="n">
        <v>100.483</v>
      </c>
      <c r="I102" s="0" t="n">
        <v>0</v>
      </c>
      <c r="N102" s="0" t="inlineStr">
        <is>
          <t>—</t>
        </is>
      </c>
    </row>
    <row r="103">
      <c r="A103" s="0" t="inlineStr">
        <is>
          <t>20260601</t>
        </is>
      </c>
      <c r="B103" s="0" t="inlineStr">
        <is>
          <t>华宝添益ETF</t>
        </is>
      </c>
      <c r="C103" s="0" t="inlineStr">
        <is>
          <t>511990</t>
        </is>
      </c>
      <c r="H103" s="0" t="n">
        <v>99.996</v>
      </c>
      <c r="I103" s="0" t="n">
        <v>-2.5</v>
      </c>
      <c r="J103" s="0" t="n">
        <v>0</v>
      </c>
      <c r="N103" s="0" t="inlineStr">
        <is>
          <t>—</t>
        </is>
      </c>
    </row>
    <row r="104">
      <c r="A104" s="0" t="inlineStr">
        <is>
          <t>20260602</t>
        </is>
      </c>
      <c r="B104" s="0" t="inlineStr">
        <is>
          <t>沪深300ETF</t>
        </is>
      </c>
      <c r="C104" s="0" t="inlineStr">
        <is>
          <t>510300</t>
        </is>
      </c>
      <c r="H104" s="0" t="n">
        <v>4.936</v>
      </c>
      <c r="I104" s="0" t="n">
        <v>2420</v>
      </c>
      <c r="J104" s="0" t="n">
        <v>0.0045</v>
      </c>
      <c r="N104" s="0" t="inlineStr">
        <is>
          <t>📊权重预警偏离-4.2%</t>
        </is>
      </c>
    </row>
    <row r="105">
      <c r="A105" s="0" t="inlineStr">
        <is>
          <t>20260602</t>
        </is>
      </c>
      <c r="B105" s="0" t="inlineStr">
        <is>
          <t>中证500ETF</t>
        </is>
      </c>
      <c r="C105" s="0" t="inlineStr">
        <is>
          <t>510500</t>
        </is>
      </c>
      <c r="H105" s="0" t="n">
        <v>8.406000000000001</v>
      </c>
      <c r="I105" s="0" t="n">
        <v>-5800</v>
      </c>
      <c r="J105" s="0" t="n">
        <v>-0.0333</v>
      </c>
      <c r="N105" s="0" t="inlineStr">
        <is>
          <t>📊权重预警偏离-6.6%</t>
        </is>
      </c>
    </row>
    <row r="106">
      <c r="A106" s="0" t="inlineStr">
        <is>
          <t>20260602</t>
        </is>
      </c>
      <c r="B106" s="0" t="inlineStr">
        <is>
          <t>科创50ETF</t>
        </is>
      </c>
      <c r="C106" s="0" t="inlineStr">
        <is>
          <t>588050</t>
        </is>
      </c>
      <c r="H106" s="0" t="n">
        <v>1.734</v>
      </c>
      <c r="I106" s="0" t="n">
        <v>-6240</v>
      </c>
      <c r="J106" s="0" t="n">
        <v>-0.0566</v>
      </c>
      <c r="N106" s="0" t="inlineStr">
        <is>
          <t>⚡预警：浮亏-5.7% &gt;= -5%，暂停新增买入</t>
        </is>
      </c>
    </row>
    <row r="107">
      <c r="A107" s="0" t="inlineStr">
        <is>
          <t>20260602</t>
        </is>
      </c>
      <c r="B107" s="0" t="inlineStr">
        <is>
          <t>创业板ETF</t>
        </is>
      </c>
      <c r="C107" s="0" t="inlineStr">
        <is>
          <t>159915</t>
        </is>
      </c>
      <c r="H107" s="0" t="n">
        <v>4.071</v>
      </c>
      <c r="I107" s="0" t="n">
        <v>6489</v>
      </c>
      <c r="J107" s="0" t="n">
        <v>0.026</v>
      </c>
      <c r="N107" s="0" t="inlineStr">
        <is>
          <t>—</t>
        </is>
      </c>
    </row>
    <row r="108">
      <c r="A108" s="0" t="inlineStr">
        <is>
          <t>20260602</t>
        </is>
      </c>
      <c r="B108" s="0" t="inlineStr">
        <is>
          <t>红利低波ETF</t>
        </is>
      </c>
      <c r="C108" s="0" t="inlineStr">
        <is>
          <t>512890</t>
        </is>
      </c>
      <c r="H108" s="0" t="n">
        <v>1.182</v>
      </c>
      <c r="I108" s="0" t="n">
        <v>6976</v>
      </c>
      <c r="J108" s="0" t="n">
        <v>0.0278</v>
      </c>
      <c r="N108" s="0" t="inlineStr">
        <is>
          <t>—</t>
        </is>
      </c>
    </row>
    <row r="109">
      <c r="A109" s="0" t="inlineStr">
        <is>
          <t>20260602</t>
        </is>
      </c>
      <c r="B109" s="0" t="inlineStr">
        <is>
          <t>可转债ETF</t>
        </is>
      </c>
      <c r="C109" s="0" t="inlineStr">
        <is>
          <t>511380</t>
        </is>
      </c>
      <c r="H109" s="0" t="n">
        <v>14.121</v>
      </c>
      <c r="I109" s="0" t="n">
        <v>0</v>
      </c>
      <c r="N109" s="0" t="inlineStr">
        <is>
          <t>—</t>
        </is>
      </c>
    </row>
    <row r="110">
      <c r="A110" s="0" t="inlineStr">
        <is>
          <t>20260602</t>
        </is>
      </c>
      <c r="B110" s="0" t="inlineStr">
        <is>
          <t>10年国债ETF</t>
        </is>
      </c>
      <c r="C110" s="0" t="inlineStr">
        <is>
          <t>511260</t>
        </is>
      </c>
      <c r="H110" s="0" t="n">
        <v>136.14</v>
      </c>
      <c r="I110" s="0" t="n">
        <v>1831.5</v>
      </c>
      <c r="J110" s="0" t="n">
        <v>0.0036</v>
      </c>
      <c r="N110" s="0" t="inlineStr">
        <is>
          <t>—</t>
        </is>
      </c>
    </row>
    <row r="111">
      <c r="A111" s="0" t="inlineStr">
        <is>
          <t>20260602</t>
        </is>
      </c>
      <c r="B111" s="0" t="inlineStr">
        <is>
          <t>5年国债ETF</t>
        </is>
      </c>
      <c r="C111" s="0" t="inlineStr">
        <is>
          <t>511010</t>
        </is>
      </c>
      <c r="H111" s="0" t="n">
        <v>141.48</v>
      </c>
      <c r="I111" s="0" t="n">
        <v>937.65</v>
      </c>
      <c r="J111" s="0" t="n">
        <v>0.0019</v>
      </c>
      <c r="N111" s="0" t="inlineStr">
        <is>
          <t>—</t>
        </is>
      </c>
    </row>
    <row r="112">
      <c r="A112" s="0" t="inlineStr">
        <is>
          <t>20260602</t>
        </is>
      </c>
      <c r="B112" s="0" t="inlineStr">
        <is>
          <t>短融ETF</t>
        </is>
      </c>
      <c r="C112" s="0" t="inlineStr">
        <is>
          <t>511360</t>
        </is>
      </c>
      <c r="H112" s="0" t="n">
        <v>113.526</v>
      </c>
      <c r="I112" s="0" t="n">
        <v>140.8</v>
      </c>
      <c r="J112" s="0" t="n">
        <v>0.0005999999999999999</v>
      </c>
      <c r="N112" s="0" t="inlineStr">
        <is>
          <t>—</t>
        </is>
      </c>
    </row>
    <row r="113">
      <c r="A113" s="0" t="inlineStr">
        <is>
          <t>20260602</t>
        </is>
      </c>
      <c r="B113" s="0" t="inlineStr">
        <is>
          <t>黄金ETF</t>
        </is>
      </c>
      <c r="C113" s="0" t="inlineStr">
        <is>
          <t>518880</t>
        </is>
      </c>
      <c r="H113" s="0" t="n">
        <v>9.41</v>
      </c>
      <c r="I113" s="0" t="n">
        <v>533.3200000000001</v>
      </c>
      <c r="J113" s="0" t="n">
        <v>0.0014</v>
      </c>
      <c r="N113" s="0" t="inlineStr">
        <is>
          <t>⚠️权重触发线偏离-7.5%</t>
        </is>
      </c>
    </row>
    <row r="114">
      <c r="A114" s="0" t="inlineStr">
        <is>
          <t>20260602</t>
        </is>
      </c>
      <c r="B114" s="0" t="inlineStr">
        <is>
          <t>银华日利ETF</t>
        </is>
      </c>
      <c r="C114" s="0" t="inlineStr">
        <is>
          <t>511880</t>
        </is>
      </c>
      <c r="H114" s="0" t="n">
        <v>100.488</v>
      </c>
      <c r="I114" s="0" t="n">
        <v>0</v>
      </c>
      <c r="N114" s="0" t="inlineStr">
        <is>
          <t>—</t>
        </is>
      </c>
    </row>
    <row r="115">
      <c r="A115" s="0" t="inlineStr">
        <is>
          <t>20260602</t>
        </is>
      </c>
      <c r="B115" s="0" t="inlineStr">
        <is>
          <t>华宝添益ETF</t>
        </is>
      </c>
      <c r="C115" s="0" t="inlineStr">
        <is>
          <t>511990</t>
        </is>
      </c>
      <c r="H115" s="0" t="n">
        <v>99.999</v>
      </c>
      <c r="I115" s="0" t="n">
        <v>5</v>
      </c>
      <c r="J115" s="0" t="n">
        <v>0</v>
      </c>
      <c r="N115" s="0" t="inlineStr">
        <is>
          <t>—</t>
        </is>
      </c>
    </row>
    <row r="116">
      <c r="A116" s="0" t="inlineStr">
        <is>
          <t>20260603</t>
        </is>
      </c>
      <c r="B116" s="0" t="inlineStr">
        <is>
          <t>沪深300ETF</t>
        </is>
      </c>
      <c r="C116" s="0" t="inlineStr">
        <is>
          <t>510300</t>
        </is>
      </c>
      <c r="H116" s="0" t="n">
        <v>4.965</v>
      </c>
      <c r="I116" s="0" t="n">
        <v>5610</v>
      </c>
      <c r="J116" s="0" t="n">
        <v>0.0104</v>
      </c>
      <c r="N116" s="0" t="inlineStr">
        <is>
          <t>—</t>
        </is>
      </c>
    </row>
    <row r="117">
      <c r="A117" s="0" t="inlineStr">
        <is>
          <t>20260603</t>
        </is>
      </c>
      <c r="B117" s="0" t="inlineStr">
        <is>
          <t>中证500ETF</t>
        </is>
      </c>
      <c r="C117" s="0" t="inlineStr">
        <is>
          <t>510500</t>
        </is>
      </c>
      <c r="H117" s="0" t="n">
        <v>8.455</v>
      </c>
      <c r="I117" s="0" t="n">
        <v>-4820</v>
      </c>
      <c r="J117" s="0" t="n">
        <v>-0.0277</v>
      </c>
      <c r="N117" s="0" t="inlineStr">
        <is>
          <t>📊权重预警偏离-4.7%</t>
        </is>
      </c>
    </row>
    <row r="118">
      <c r="A118" s="0" t="inlineStr">
        <is>
          <t>20260603</t>
        </is>
      </c>
      <c r="B118" s="0" t="inlineStr">
        <is>
          <t>科创50ETF</t>
        </is>
      </c>
      <c r="C118" s="0" t="inlineStr">
        <is>
          <t>588050</t>
        </is>
      </c>
      <c r="H118" s="0" t="n">
        <v>1.772</v>
      </c>
      <c r="I118" s="0" t="n">
        <v>-3960</v>
      </c>
      <c r="J118" s="0" t="n">
        <v>-0.0359</v>
      </c>
      <c r="N118" s="0" t="inlineStr">
        <is>
          <t>—</t>
        </is>
      </c>
    </row>
    <row r="119">
      <c r="A119" s="0" t="inlineStr">
        <is>
          <t>20260603</t>
        </is>
      </c>
      <c r="B119" s="0" t="inlineStr">
        <is>
          <t>创业板ETF</t>
        </is>
      </c>
      <c r="C119" s="0" t="inlineStr">
        <is>
          <t>159915</t>
        </is>
      </c>
      <c r="H119" s="0" t="n">
        <v>4.145</v>
      </c>
      <c r="I119" s="0" t="n">
        <v>11151</v>
      </c>
      <c r="J119" s="0" t="n">
        <v>0.0446</v>
      </c>
      <c r="N119" s="0" t="inlineStr">
        <is>
          <t>📊权重预警偏离+3.1%</t>
        </is>
      </c>
    </row>
    <row r="120">
      <c r="A120" s="0" t="inlineStr">
        <is>
          <t>20260603</t>
        </is>
      </c>
      <c r="B120" s="0" t="inlineStr">
        <is>
          <t>红利低波ETF</t>
        </is>
      </c>
      <c r="C120" s="0" t="inlineStr">
        <is>
          <t>512890</t>
        </is>
      </c>
      <c r="H120" s="0" t="n">
        <v>1.173</v>
      </c>
      <c r="I120" s="0" t="n">
        <v>5014</v>
      </c>
      <c r="J120" s="0" t="n">
        <v>0.02</v>
      </c>
      <c r="N120" s="0" t="inlineStr">
        <is>
          <t>—</t>
        </is>
      </c>
    </row>
    <row r="121">
      <c r="A121" s="0" t="inlineStr">
        <is>
          <t>20260603</t>
        </is>
      </c>
      <c r="B121" s="0" t="inlineStr">
        <is>
          <t>可转债ETF</t>
        </is>
      </c>
      <c r="C121" s="0" t="inlineStr">
        <is>
          <t>511380</t>
        </is>
      </c>
      <c r="H121" s="0" t="n">
        <v>14.083</v>
      </c>
      <c r="I121" s="0" t="n">
        <v>0</v>
      </c>
      <c r="J121" s="0" t="n">
        <v>0</v>
      </c>
      <c r="N121" s="0" t="inlineStr">
        <is>
          <t>🔴再平衡紧急线：偏离-10.0% &gt;= ±10%</t>
        </is>
      </c>
    </row>
    <row r="122">
      <c r="A122" s="0" t="inlineStr">
        <is>
          <t>20260603</t>
        </is>
      </c>
      <c r="B122" s="0" t="inlineStr">
        <is>
          <t>10年国债ETF</t>
        </is>
      </c>
      <c r="C122" s="0" t="inlineStr">
        <is>
          <t>511260</t>
        </is>
      </c>
      <c r="H122" s="0" t="n">
        <v>136.078</v>
      </c>
      <c r="I122" s="0" t="n">
        <v>1602.1</v>
      </c>
      <c r="J122" s="0" t="n">
        <v>0.0032</v>
      </c>
      <c r="N122" s="0" t="inlineStr">
        <is>
          <t>📊权重预警偏离+5.7%</t>
        </is>
      </c>
    </row>
    <row r="123">
      <c r="A123" s="0" t="inlineStr">
        <is>
          <t>20260603</t>
        </is>
      </c>
      <c r="B123" s="0" t="inlineStr">
        <is>
          <t>5年国债ETF</t>
        </is>
      </c>
      <c r="C123" s="0" t="inlineStr">
        <is>
          <t>511010</t>
        </is>
      </c>
      <c r="H123" s="0" t="n">
        <v>141.464</v>
      </c>
      <c r="I123" s="0" t="n">
        <v>881.65</v>
      </c>
      <c r="J123" s="0" t="n">
        <v>0.0018</v>
      </c>
      <c r="N123" s="0" t="inlineStr">
        <is>
          <t>📊权重预警偏离+5.4%</t>
        </is>
      </c>
    </row>
    <row r="124">
      <c r="A124" s="0" t="inlineStr">
        <is>
          <t>20260603</t>
        </is>
      </c>
      <c r="B124" s="0" t="inlineStr">
        <is>
          <t>短融ETF</t>
        </is>
      </c>
      <c r="C124" s="0" t="inlineStr">
        <is>
          <t>511360</t>
        </is>
      </c>
      <c r="H124" s="0" t="n">
        <v>113.528</v>
      </c>
      <c r="I124" s="0" t="n">
        <v>145.2</v>
      </c>
      <c r="J124" s="0" t="n">
        <v>0.0005999999999999999</v>
      </c>
      <c r="N124" s="0" t="inlineStr">
        <is>
          <t>—</t>
        </is>
      </c>
    </row>
    <row r="125">
      <c r="A125" s="0" t="inlineStr">
        <is>
          <t>20260603</t>
        </is>
      </c>
      <c r="B125" s="0" t="inlineStr">
        <is>
          <t>黄金ETF</t>
        </is>
      </c>
      <c r="C125" s="0" t="inlineStr">
        <is>
          <t>518880</t>
        </is>
      </c>
      <c r="H125" s="0" t="n">
        <v>9.281000000000001</v>
      </c>
      <c r="I125" s="0" t="n">
        <v>-4600.88</v>
      </c>
      <c r="J125" s="0" t="n">
        <v>-0.0123</v>
      </c>
      <c r="N125" s="0" t="inlineStr">
        <is>
          <t>📊权重预警偏离-3.5%</t>
        </is>
      </c>
    </row>
    <row r="126">
      <c r="A126" s="0" t="inlineStr">
        <is>
          <t>20260603</t>
        </is>
      </c>
      <c r="B126" s="0" t="inlineStr">
        <is>
          <t>银华日利ETF</t>
        </is>
      </c>
      <c r="C126" s="0" t="inlineStr">
        <is>
          <t>511880</t>
        </is>
      </c>
      <c r="H126" s="0" t="n">
        <v>100.501</v>
      </c>
      <c r="I126" s="0" t="n">
        <v>0</v>
      </c>
      <c r="J126" s="0" t="n">
        <v>0</v>
      </c>
      <c r="N126" s="0" t="inlineStr">
        <is>
          <t>📊权重预警偏离-5.0%</t>
        </is>
      </c>
    </row>
    <row r="127">
      <c r="A127" s="0" t="inlineStr">
        <is>
          <t>20260603</t>
        </is>
      </c>
      <c r="B127" s="0" t="inlineStr">
        <is>
          <t>华宝添益ETF</t>
        </is>
      </c>
      <c r="C127" s="0" t="inlineStr">
        <is>
          <t>511990</t>
        </is>
      </c>
      <c r="H127" s="0" t="n">
        <v>100</v>
      </c>
      <c r="I127" s="0" t="n">
        <v>7.5</v>
      </c>
      <c r="J127" s="0" t="n">
        <v>0</v>
      </c>
      <c r="N127" s="0" t="inlineStr">
        <is>
          <t>—</t>
        </is>
      </c>
    </row>
    <row r="128">
      <c r="A128" s="0" t="inlineStr">
        <is>
          <t>20260604</t>
        </is>
      </c>
      <c r="B128" s="0" t="inlineStr">
        <is>
          <t>沪深300ETF</t>
        </is>
      </c>
      <c r="C128" s="0" t="inlineStr">
        <is>
          <t>510300</t>
        </is>
      </c>
      <c r="H128" s="0" t="n">
        <v>4.926</v>
      </c>
      <c r="I128" s="0" t="n">
        <v>1320</v>
      </c>
      <c r="J128" s="0" t="n">
        <v>0.0024</v>
      </c>
      <c r="N128" s="0" t="inlineStr">
        <is>
          <t>-</t>
        </is>
      </c>
    </row>
    <row r="129">
      <c r="A129" s="0" t="inlineStr">
        <is>
          <t>20260604</t>
        </is>
      </c>
      <c r="B129" s="0" t="inlineStr">
        <is>
          <t>中证500ETF</t>
        </is>
      </c>
      <c r="C129" s="0" t="inlineStr">
        <is>
          <t>510500</t>
        </is>
      </c>
      <c r="H129" s="0" t="n">
        <v>8.448</v>
      </c>
      <c r="I129" s="0" t="n">
        <v>-4960</v>
      </c>
      <c r="J129" s="0" t="n">
        <v>-0.0285</v>
      </c>
      <c r="N129" s="0" t="inlineStr">
        <is>
          <t>权重预警偏离-4.7%</t>
        </is>
      </c>
    </row>
    <row r="130">
      <c r="A130" s="0" t="inlineStr">
        <is>
          <t>20260604</t>
        </is>
      </c>
      <c r="B130" s="0" t="inlineStr">
        <is>
          <t>科创50ETF</t>
        </is>
      </c>
      <c r="C130" s="0" t="inlineStr">
        <is>
          <t>588050</t>
        </is>
      </c>
      <c r="H130" s="0" t="n">
        <v>1.783</v>
      </c>
      <c r="I130" s="0" t="n">
        <v>-3300</v>
      </c>
      <c r="J130" s="0" t="n">
        <v>-0.0299</v>
      </c>
      <c r="N130" s="0" t="inlineStr">
        <is>
          <t>-</t>
        </is>
      </c>
    </row>
    <row r="131">
      <c r="A131" s="0" t="inlineStr">
        <is>
          <t>20260604</t>
        </is>
      </c>
      <c r="B131" s="0" t="inlineStr">
        <is>
          <t>创业板ETF</t>
        </is>
      </c>
      <c r="C131" s="0" t="inlineStr">
        <is>
          <t>159915</t>
        </is>
      </c>
      <c r="H131" s="0" t="n">
        <v>4.1</v>
      </c>
      <c r="I131" s="0" t="n">
        <v>8316</v>
      </c>
      <c r="J131" s="0" t="n">
        <v>0.0333</v>
      </c>
      <c r="N131" s="0" t="inlineStr">
        <is>
          <t>权重预警偏离+3.1%</t>
        </is>
      </c>
    </row>
    <row r="132">
      <c r="A132" s="0" t="inlineStr">
        <is>
          <t>20260604</t>
        </is>
      </c>
      <c r="B132" s="0" t="inlineStr">
        <is>
          <t>红利低波ETF</t>
        </is>
      </c>
      <c r="C132" s="0" t="inlineStr">
        <is>
          <t>512890</t>
        </is>
      </c>
      <c r="H132" s="0" t="n">
        <v>1.158</v>
      </c>
      <c r="I132" s="0" t="n">
        <v>1744</v>
      </c>
      <c r="J132" s="0" t="n">
        <v>0.007</v>
      </c>
      <c r="N132" s="0" t="inlineStr">
        <is>
          <t>-</t>
        </is>
      </c>
    </row>
    <row r="133">
      <c r="A133" s="0" t="inlineStr">
        <is>
          <t>20260604</t>
        </is>
      </c>
      <c r="B133" s="0" t="inlineStr">
        <is>
          <t>可转债ETF</t>
        </is>
      </c>
      <c r="C133" s="0" t="inlineStr">
        <is>
          <t>511380</t>
        </is>
      </c>
      <c r="H133" s="0" t="n">
        <v>13.999</v>
      </c>
      <c r="I133" s="0" t="n">
        <v>0</v>
      </c>
      <c r="J133" s="0" t="n">
        <v>0</v>
      </c>
      <c r="N133" s="0" t="inlineStr">
        <is>
          <t>再平衡紧急:偏离&gt;=+-10%</t>
        </is>
      </c>
    </row>
    <row r="134">
      <c r="A134" s="0" t="inlineStr">
        <is>
          <t>20260604</t>
        </is>
      </c>
      <c r="B134" s="0" t="inlineStr">
        <is>
          <t>10年国债ETF</t>
        </is>
      </c>
      <c r="C134" s="0" t="inlineStr">
        <is>
          <t>511260</t>
        </is>
      </c>
      <c r="H134" s="0" t="n">
        <v>136.133</v>
      </c>
      <c r="I134" s="0" t="n">
        <v>1805.6</v>
      </c>
      <c r="J134" s="0" t="n">
        <v>0.0036</v>
      </c>
      <c r="N134" s="0" t="inlineStr">
        <is>
          <t>权重预警偏离+5.8%</t>
        </is>
      </c>
    </row>
    <row r="135">
      <c r="A135" s="0" t="inlineStr">
        <is>
          <t>20260604</t>
        </is>
      </c>
      <c r="B135" s="0" t="inlineStr">
        <is>
          <t>5年国债ETF</t>
        </is>
      </c>
      <c r="C135" s="0" t="inlineStr">
        <is>
          <t>511010</t>
        </is>
      </c>
      <c r="H135" s="0" t="n">
        <v>141.504</v>
      </c>
      <c r="I135" s="0" t="n">
        <v>1021.65</v>
      </c>
      <c r="J135" s="0" t="n">
        <v>0.0021</v>
      </c>
      <c r="N135" s="0" t="inlineStr">
        <is>
          <t>权重预警偏离+5.5%</t>
        </is>
      </c>
    </row>
    <row r="136">
      <c r="A136" s="0" t="inlineStr">
        <is>
          <t>20260604</t>
        </is>
      </c>
      <c r="B136" s="0" t="inlineStr">
        <is>
          <t>短融ETF</t>
        </is>
      </c>
      <c r="C136" s="0" t="inlineStr">
        <is>
          <t>511360</t>
        </is>
      </c>
      <c r="H136" s="0" t="n">
        <v>113.535</v>
      </c>
      <c r="I136" s="0" t="n">
        <v>160.6</v>
      </c>
      <c r="J136" s="0" t="n">
        <v>0.0005999999999999999</v>
      </c>
      <c r="N136" s="0" t="inlineStr">
        <is>
          <t>-</t>
        </is>
      </c>
    </row>
    <row r="137">
      <c r="A137" s="0" t="inlineStr">
        <is>
          <t>20260604</t>
        </is>
      </c>
      <c r="B137" s="0" t="inlineStr">
        <is>
          <t>黄金ETF</t>
        </is>
      </c>
      <c r="C137" s="0" t="inlineStr">
        <is>
          <t>518880</t>
        </is>
      </c>
      <c r="H137" s="0" t="n">
        <v>9.289999999999999</v>
      </c>
      <c r="I137" s="0" t="n">
        <v>-4242.68</v>
      </c>
      <c r="J137" s="0" t="n">
        <v>-0.0113</v>
      </c>
      <c r="N137" s="0" t="inlineStr">
        <is>
          <t>权重预警偏离-3.4%</t>
        </is>
      </c>
    </row>
    <row r="138">
      <c r="A138" s="0" t="inlineStr">
        <is>
          <t>20260604</t>
        </is>
      </c>
      <c r="B138" s="0" t="inlineStr">
        <is>
          <t>银华日利ETF</t>
        </is>
      </c>
      <c r="C138" s="0" t="inlineStr">
        <is>
          <t>511880</t>
        </is>
      </c>
      <c r="H138" s="0" t="n">
        <v>100.512</v>
      </c>
      <c r="I138" s="0" t="n">
        <v>0</v>
      </c>
      <c r="J138" s="0" t="n">
        <v>0</v>
      </c>
      <c r="N138" s="0" t="inlineStr">
        <is>
          <t>权重预警偏离-5.0%</t>
        </is>
      </c>
    </row>
    <row r="139">
      <c r="A139" s="0" t="inlineStr">
        <is>
          <t>20260604</t>
        </is>
      </c>
      <c r="B139" s="0" t="inlineStr">
        <is>
          <t>华宝添益ETF</t>
        </is>
      </c>
      <c r="C139" s="0" t="inlineStr">
        <is>
          <t>511990</t>
        </is>
      </c>
      <c r="H139" s="0" t="n">
        <v>100.001</v>
      </c>
      <c r="I139" s="0" t="n">
        <v>10</v>
      </c>
      <c r="J139" s="0" t="n">
        <v>0</v>
      </c>
      <c r="N139" s="0" t="inlineStr">
        <is>
          <t>-</t>
        </is>
      </c>
    </row>
    <row r="140">
      <c r="A140" s="0" t="inlineStr">
        <is>
          <t>20260609</t>
        </is>
      </c>
      <c r="B140" s="0" t="inlineStr">
        <is>
          <t>沪深300ETF</t>
        </is>
      </c>
      <c r="C140" s="0" t="inlineStr">
        <is>
          <t>510300</t>
        </is>
      </c>
      <c r="H140" s="0" t="n">
        <v>4.826</v>
      </c>
      <c r="I140" s="0" t="n">
        <v>-9074.200000000001</v>
      </c>
      <c r="J140" s="0" t="n">
        <v>-0.0121</v>
      </c>
      <c r="N140" s="0" t="inlineStr">
        <is>
          <t>🟠再平衡触发线：偏离+7.6% &gt;= ±7%，强制调仓</t>
        </is>
      </c>
    </row>
    <row r="141">
      <c r="A141" s="0" t="inlineStr">
        <is>
          <t>20260609</t>
        </is>
      </c>
      <c r="B141" s="0" t="inlineStr">
        <is>
          <t>中证500ETF</t>
        </is>
      </c>
      <c r="C141" s="0" t="inlineStr">
        <is>
          <t>510500</t>
        </is>
      </c>
      <c r="H141" s="0" t="n">
        <v>8.27</v>
      </c>
      <c r="I141" s="0" t="n">
        <v>-8520</v>
      </c>
      <c r="J141" s="0" t="n">
        <v>-0.049</v>
      </c>
      <c r="N141" s="0" t="inlineStr">
        <is>
          <t>📊权重预警偏离-5.0%</t>
        </is>
      </c>
    </row>
    <row r="142">
      <c r="A142" s="0" t="inlineStr">
        <is>
          <t>20260609</t>
        </is>
      </c>
      <c r="B142" s="0" t="inlineStr">
        <is>
          <t>科创50ETF</t>
        </is>
      </c>
      <c r="C142" s="0" t="inlineStr">
        <is>
          <t>588050</t>
        </is>
      </c>
      <c r="H142" s="0" t="n">
        <v>1.706</v>
      </c>
      <c r="I142" s="0" t="n">
        <v>-7920</v>
      </c>
      <c r="J142" s="0" t="n">
        <v>-0.0718</v>
      </c>
      <c r="N142" s="0" t="inlineStr">
        <is>
          <t>⚡预警：浮亏-7.2% &gt;= -5%，暂停新增买入</t>
        </is>
      </c>
    </row>
    <row r="143">
      <c r="A143" s="0" t="inlineStr">
        <is>
          <t>20260609</t>
        </is>
      </c>
      <c r="B143" s="0" t="inlineStr">
        <is>
          <t>创业板ETF</t>
        </is>
      </c>
      <c r="C143" s="0" t="inlineStr">
        <is>
          <t>159915</t>
        </is>
      </c>
      <c r="H143" s="0" t="n">
        <v>3.972</v>
      </c>
      <c r="I143" s="0" t="n">
        <v>252</v>
      </c>
      <c r="J143" s="0" t="n">
        <v>0.001</v>
      </c>
      <c r="N143" s="0" t="inlineStr">
        <is>
          <t>—</t>
        </is>
      </c>
    </row>
    <row r="144">
      <c r="A144" s="0" t="inlineStr">
        <is>
          <t>20260609</t>
        </is>
      </c>
      <c r="B144" s="0" t="inlineStr">
        <is>
          <t>红利低波ETF</t>
        </is>
      </c>
      <c r="C144" s="0" t="inlineStr">
        <is>
          <t>512890</t>
        </is>
      </c>
      <c r="H144" s="0" t="n">
        <v>1.164</v>
      </c>
      <c r="I144" s="0" t="n">
        <v>3052</v>
      </c>
      <c r="J144" s="0" t="n">
        <v>0.0122</v>
      </c>
      <c r="N144" s="0" t="inlineStr">
        <is>
          <t>—</t>
        </is>
      </c>
    </row>
    <row r="145">
      <c r="A145" s="0" t="inlineStr">
        <is>
          <t>20260609</t>
        </is>
      </c>
      <c r="B145" s="0" t="inlineStr">
        <is>
          <t>可转债ETF</t>
        </is>
      </c>
      <c r="C145" s="0" t="inlineStr">
        <is>
          <t>511380</t>
        </is>
      </c>
      <c r="H145" s="0" t="n">
        <v>13.927</v>
      </c>
      <c r="I145" s="0" t="n">
        <v>-165.6</v>
      </c>
      <c r="J145" s="0" t="n">
        <v>-0.0016</v>
      </c>
      <c r="N145" s="0" t="inlineStr">
        <is>
          <t>📊权重预警偏离-7.0%</t>
        </is>
      </c>
    </row>
    <row r="146">
      <c r="A146" s="0" t="inlineStr">
        <is>
          <t>20260609</t>
        </is>
      </c>
      <c r="B146" s="0" t="inlineStr">
        <is>
          <t>10年国债ETF</t>
        </is>
      </c>
      <c r="C146" s="0" t="inlineStr">
        <is>
          <t>511260</t>
        </is>
      </c>
      <c r="H146" s="0" t="n">
        <v>135.75</v>
      </c>
      <c r="I146" s="0" t="n">
        <v>388.5</v>
      </c>
      <c r="J146" s="0" t="n">
        <v>0.0008</v>
      </c>
      <c r="N146" s="0" t="inlineStr">
        <is>
          <t>📊权重预警偏离+5.3%</t>
        </is>
      </c>
    </row>
    <row r="147">
      <c r="A147" s="0" t="inlineStr">
        <is>
          <t>20260609</t>
        </is>
      </c>
      <c r="B147" s="0" t="inlineStr">
        <is>
          <t>5年国债ETF</t>
        </is>
      </c>
      <c r="C147" s="0" t="inlineStr">
        <is>
          <t>511010</t>
        </is>
      </c>
      <c r="H147" s="0" t="n">
        <v>141.345</v>
      </c>
      <c r="I147" s="0" t="n">
        <v>465.15</v>
      </c>
      <c r="J147" s="0" t="n">
        <v>0.0009</v>
      </c>
      <c r="N147" s="0" t="inlineStr">
        <is>
          <t>📊权重预警偏离+5.0%</t>
        </is>
      </c>
    </row>
    <row r="148">
      <c r="A148" s="0" t="inlineStr">
        <is>
          <t>20260609</t>
        </is>
      </c>
      <c r="B148" s="0" t="inlineStr">
        <is>
          <t>短融ETF</t>
        </is>
      </c>
      <c r="C148" s="0" t="inlineStr">
        <is>
          <t>511360</t>
        </is>
      </c>
      <c r="H148" s="0" t="n">
        <v>113.559</v>
      </c>
      <c r="I148" s="0" t="n">
        <v>213.4</v>
      </c>
      <c r="J148" s="0" t="n">
        <v>0.0009</v>
      </c>
      <c r="N148" s="0" t="inlineStr">
        <is>
          <t>—</t>
        </is>
      </c>
    </row>
    <row r="149">
      <c r="A149" s="0" t="inlineStr">
        <is>
          <t>20260609</t>
        </is>
      </c>
      <c r="B149" s="0" t="inlineStr">
        <is>
          <t>黄金ETF</t>
        </is>
      </c>
      <c r="C149" s="0" t="inlineStr">
        <is>
          <t>518880</t>
        </is>
      </c>
      <c r="H149" s="0" t="n">
        <v>9.005000000000001</v>
      </c>
      <c r="I149" s="0" t="n">
        <v>-15544.56</v>
      </c>
      <c r="J149" s="0" t="n">
        <v>-0.0349</v>
      </c>
      <c r="N149" s="0" t="inlineStr">
        <is>
          <t>—</t>
        </is>
      </c>
    </row>
    <row r="150">
      <c r="A150" s="0" t="inlineStr">
        <is>
          <t>20260609</t>
        </is>
      </c>
      <c r="B150" s="0" t="inlineStr">
        <is>
          <t>银华日利ETF</t>
        </is>
      </c>
      <c r="C150" s="0" t="inlineStr">
        <is>
          <t>511880</t>
        </is>
      </c>
      <c r="H150" s="0" t="n">
        <v>100.514</v>
      </c>
      <c r="I150" s="0" t="n">
        <v>0</v>
      </c>
      <c r="J150" s="0" t="n">
        <v>0</v>
      </c>
      <c r="N150" s="0" t="inlineStr">
        <is>
          <t>📊权重预警偏离-5.0%</t>
        </is>
      </c>
    </row>
    <row r="151">
      <c r="A151" s="0" t="inlineStr">
        <is>
          <t>20260609</t>
        </is>
      </c>
      <c r="B151" s="0" t="inlineStr">
        <is>
          <t>华宝添益ETF</t>
        </is>
      </c>
      <c r="C151" s="0" t="inlineStr">
        <is>
          <t>511990</t>
        </is>
      </c>
      <c r="H151" s="0" t="n">
        <v>100.003</v>
      </c>
      <c r="I151" s="0" t="n">
        <v>0</v>
      </c>
      <c r="J151" s="0" t="n">
        <v>0</v>
      </c>
      <c r="N151" s="0" t="inlineStr">
        <is>
          <t>📊权重预警偏离-5.0%</t>
        </is>
      </c>
    </row>
    <row r="152">
      <c r="A152" s="0" t="inlineStr">
        <is>
          <t>20260610</t>
        </is>
      </c>
      <c r="B152" s="0" t="inlineStr">
        <is>
          <t>华泰柏瑞沪深300ETF</t>
        </is>
      </c>
      <c r="C152" s="0" t="inlineStr">
        <is>
          <t>510300</t>
        </is>
      </c>
      <c r="D152" s="0" t="n">
        <v>153800</v>
      </c>
      <c r="E152" s="0" t="n">
        <v>4.885</v>
      </c>
      <c r="F152" s="0" t="n">
        <v>751313</v>
      </c>
      <c r="G152" s="0" t="n">
        <v>4.784</v>
      </c>
      <c r="H152" s="0" t="inlineStr">
        <is>
          <t>-0.87%</t>
        </is>
      </c>
      <c r="I152" s="0" t="n">
        <v>735779.2</v>
      </c>
      <c r="J152" s="0" t="n">
        <v>-15533.8</v>
      </c>
      <c r="K152" s="0" t="n">
        <v>-0.0207</v>
      </c>
      <c r="L152" s="0" t="n">
        <v>0.15</v>
      </c>
      <c r="M152" s="0" t="n">
        <v>0.2124</v>
      </c>
      <c r="N152" s="0" t="n">
        <v>0.0624</v>
      </c>
      <c r="O152" s="0" t="inlineStr">
        <is>
          <t>📊权重预警偏离+6.2%</t>
        </is>
      </c>
    </row>
    <row r="153">
      <c r="A153" s="0" t="inlineStr">
        <is>
          <t>20260610</t>
        </is>
      </c>
      <c r="B153" s="0" t="inlineStr">
        <is>
          <t>南方中证500ETF</t>
        </is>
      </c>
      <c r="C153" s="0" t="inlineStr">
        <is>
          <t>510500</t>
        </is>
      </c>
      <c r="D153" s="0" t="n">
        <v>20000</v>
      </c>
      <c r="E153" s="0" t="n">
        <v>8.696</v>
      </c>
      <c r="F153" s="0" t="n">
        <v>173920</v>
      </c>
      <c r="G153" s="0" t="n">
        <v>8.170999999999999</v>
      </c>
      <c r="H153" s="0" t="inlineStr">
        <is>
          <t>-1.20%</t>
        </is>
      </c>
      <c r="I153" s="0" t="n">
        <v>163420</v>
      </c>
      <c r="J153" s="0" t="n">
        <v>-10500</v>
      </c>
      <c r="K153" s="0" t="n">
        <v>-0.0604</v>
      </c>
      <c r="L153" s="0" t="n">
        <v>0.1</v>
      </c>
      <c r="M153" s="0" t="n">
        <v>0.0472</v>
      </c>
      <c r="N153" s="0" t="n">
        <v>-0.0528</v>
      </c>
      <c r="O153" s="0" t="inlineStr">
        <is>
          <t>📊权重预警偏离-5.3%</t>
        </is>
      </c>
    </row>
    <row r="154">
      <c r="A154" s="0" t="inlineStr">
        <is>
          <t>20260610</t>
        </is>
      </c>
      <c r="B154" s="0" t="inlineStr">
        <is>
          <t>科创50ETF</t>
        </is>
      </c>
      <c r="C154" s="0" t="inlineStr">
        <is>
          <t>588050</t>
        </is>
      </c>
      <c r="D154" s="0" t="n">
        <v>60000</v>
      </c>
      <c r="E154" s="0" t="n">
        <v>1.838</v>
      </c>
      <c r="F154" s="0" t="n">
        <v>110280</v>
      </c>
      <c r="G154" s="0" t="n">
        <v>1.699</v>
      </c>
      <c r="H154" s="0" t="inlineStr">
        <is>
          <t>-0.41%</t>
        </is>
      </c>
      <c r="I154" s="0" t="n">
        <v>101940</v>
      </c>
      <c r="J154" s="0" t="n">
        <v>-8340</v>
      </c>
      <c r="K154" s="0" t="n">
        <v>-0.0756</v>
      </c>
      <c r="L154" s="0" t="n">
        <v>0.05</v>
      </c>
      <c r="M154" s="0" t="n">
        <v>0.0294</v>
      </c>
      <c r="N154" s="0" t="n">
        <v>-0.0206</v>
      </c>
      <c r="O154" s="0" t="inlineStr">
        <is>
          <t>⚡预警：浮亏-7.6% &gt;= -5%，暂停新增买入</t>
        </is>
      </c>
    </row>
    <row r="155">
      <c r="A155" s="0" t="inlineStr">
        <is>
          <t>20260610</t>
        </is>
      </c>
      <c r="B155" s="0" t="inlineStr">
        <is>
          <t>易方达创业板ETF</t>
        </is>
      </c>
      <c r="C155" s="0" t="inlineStr">
        <is>
          <t>159915</t>
        </is>
      </c>
      <c r="D155" s="0" t="n">
        <v>63000</v>
      </c>
      <c r="E155" s="0" t="n">
        <v>3.968</v>
      </c>
      <c r="F155" s="0" t="n">
        <v>249984</v>
      </c>
      <c r="G155" s="0" t="n">
        <v>3.87</v>
      </c>
      <c r="H155" s="0" t="inlineStr">
        <is>
          <t>-2.57%</t>
        </is>
      </c>
      <c r="I155" s="0" t="n">
        <v>243810</v>
      </c>
      <c r="J155" s="0" t="n">
        <v>-6174</v>
      </c>
      <c r="K155" s="0" t="n">
        <v>-0.0247</v>
      </c>
      <c r="L155" s="0" t="n">
        <v>0.05</v>
      </c>
      <c r="M155" s="0" t="n">
        <v>0.0704</v>
      </c>
      <c r="N155" s="0" t="n">
        <v>0.0204</v>
      </c>
      <c r="O155" s="0" t="inlineStr">
        <is>
          <t>—</t>
        </is>
      </c>
    </row>
    <row r="156">
      <c r="A156" s="0" t="inlineStr">
        <is>
          <t>20260610</t>
        </is>
      </c>
      <c r="B156" s="0" t="inlineStr">
        <is>
          <t>华泰柏瑞红利低波ETF</t>
        </is>
      </c>
      <c r="C156" s="0" t="inlineStr">
        <is>
          <t>512890</t>
        </is>
      </c>
      <c r="D156" s="0" t="n">
        <v>218000</v>
      </c>
      <c r="E156" s="0" t="n">
        <v>1.15</v>
      </c>
      <c r="F156" s="0" t="n">
        <v>250700</v>
      </c>
      <c r="G156" s="0" t="n">
        <v>1.172</v>
      </c>
      <c r="H156" s="0" t="inlineStr">
        <is>
          <t>+0.69%</t>
        </is>
      </c>
      <c r="I156" s="0" t="n">
        <v>255496</v>
      </c>
      <c r="J156" s="0" t="n">
        <v>4796</v>
      </c>
      <c r="K156" s="0" t="n">
        <v>0.0191</v>
      </c>
      <c r="L156" s="0" t="n">
        <v>0.05</v>
      </c>
      <c r="M156" s="0" t="n">
        <v>0.0737</v>
      </c>
      <c r="N156" s="0" t="n">
        <v>0.0237</v>
      </c>
      <c r="O156" s="0" t="inlineStr">
        <is>
          <t>—</t>
        </is>
      </c>
    </row>
    <row r="157">
      <c r="A157" s="0" t="inlineStr">
        <is>
          <t>20260610</t>
        </is>
      </c>
      <c r="B157" s="0" t="inlineStr">
        <is>
          <t>可转债ETF</t>
        </is>
      </c>
      <c r="C157" s="0" t="inlineStr">
        <is>
          <t>511380</t>
        </is>
      </c>
      <c r="D157" s="0" t="n">
        <v>14500</v>
      </c>
      <c r="E157" s="0" t="n">
        <v>13.8644</v>
      </c>
      <c r="F157" s="0" t="n">
        <v>201034</v>
      </c>
      <c r="G157" s="0" t="n">
        <v>13.77</v>
      </c>
      <c r="H157" s="0" t="inlineStr">
        <is>
          <t>-1.13%</t>
        </is>
      </c>
      <c r="I157" s="0" t="n">
        <v>199665</v>
      </c>
      <c r="J157" s="0" t="n">
        <v>-1368.8</v>
      </c>
      <c r="K157" s="0" t="n">
        <v>-0.0068</v>
      </c>
      <c r="L157" s="0" t="n">
        <v>0.1</v>
      </c>
      <c r="M157" s="0" t="n">
        <v>0.0594</v>
      </c>
      <c r="N157" s="0" t="n">
        <v>-0.0406</v>
      </c>
      <c r="O157" s="0" t="inlineStr">
        <is>
          <t>📊权重预警偏离-4.1%</t>
        </is>
      </c>
    </row>
    <row r="158">
      <c r="A158" s="0" t="inlineStr">
        <is>
          <t>20260610</t>
        </is>
      </c>
      <c r="B158" s="0" t="inlineStr">
        <is>
          <t>国泰上证10年期国债ETF</t>
        </is>
      </c>
      <c r="C158" s="0" t="inlineStr">
        <is>
          <t>511260</t>
        </is>
      </c>
      <c r="D158" s="0" t="n">
        <v>3700</v>
      </c>
      <c r="E158" s="0" t="n">
        <v>135.645</v>
      </c>
      <c r="F158" s="0" t="n">
        <v>501886.5</v>
      </c>
      <c r="G158" s="0" t="n">
        <v>135.653</v>
      </c>
      <c r="H158" s="0" t="inlineStr">
        <is>
          <t>-0.07%</t>
        </is>
      </c>
      <c r="I158" s="0" t="n">
        <v>501916.1</v>
      </c>
      <c r="J158" s="0" t="n">
        <v>29.6</v>
      </c>
      <c r="K158" s="0" t="n">
        <v>0.0001</v>
      </c>
      <c r="L158" s="0" t="n">
        <v>0.1</v>
      </c>
      <c r="M158" s="0" t="n">
        <v>0.1449</v>
      </c>
      <c r="N158" s="0" t="n">
        <v>0.0449</v>
      </c>
      <c r="O158" s="0" t="inlineStr">
        <is>
          <t>📊权重预警偏离+4.5%</t>
        </is>
      </c>
    </row>
    <row r="159">
      <c r="A159" s="0" t="inlineStr">
        <is>
          <t>20260610</t>
        </is>
      </c>
      <c r="B159" s="0" t="inlineStr">
        <is>
          <t>国泰上证5年期国债ETF</t>
        </is>
      </c>
      <c r="C159" s="0" t="inlineStr">
        <is>
          <t>511010</t>
        </is>
      </c>
      <c r="D159" s="0" t="n">
        <v>3500</v>
      </c>
      <c r="E159" s="0" t="n">
        <v>141.2121</v>
      </c>
      <c r="F159" s="0" t="n">
        <v>494242.35</v>
      </c>
      <c r="G159" s="0" t="n">
        <v>141.278</v>
      </c>
      <c r="H159" s="0" t="inlineStr">
        <is>
          <t>-0.05%</t>
        </is>
      </c>
      <c r="I159" s="0" t="n">
        <v>494473</v>
      </c>
      <c r="J159" s="0" t="n">
        <v>230.65</v>
      </c>
      <c r="K159" s="0" t="n">
        <v>0.0005</v>
      </c>
      <c r="L159" s="0" t="n">
        <v>0.1</v>
      </c>
      <c r="M159" s="0" t="n">
        <v>0.1427</v>
      </c>
      <c r="N159" s="0" t="n">
        <v>0.0427</v>
      </c>
      <c r="O159" s="0" t="inlineStr">
        <is>
          <t>📊权重预警偏离+4.3%</t>
        </is>
      </c>
    </row>
    <row r="160">
      <c r="A160" s="0" t="inlineStr">
        <is>
          <t>20260610</t>
        </is>
      </c>
      <c r="B160" s="0" t="inlineStr">
        <is>
          <t>海富通中证短融ETF</t>
        </is>
      </c>
      <c r="C160" s="0" t="inlineStr">
        <is>
          <t>511360</t>
        </is>
      </c>
      <c r="D160" s="0" t="n">
        <v>2200</v>
      </c>
      <c r="E160" s="0" t="n">
        <v>113.462</v>
      </c>
      <c r="F160" s="0" t="n">
        <v>249616.4</v>
      </c>
      <c r="G160" s="0" t="n">
        <v>113.56</v>
      </c>
      <c r="H160" s="0" t="inlineStr">
        <is>
          <t>+0.00%</t>
        </is>
      </c>
      <c r="I160" s="0" t="n">
        <v>249832</v>
      </c>
      <c r="J160" s="0" t="n">
        <v>215.6</v>
      </c>
      <c r="K160" s="0" t="n">
        <v>0.0009</v>
      </c>
      <c r="L160" s="0" t="n">
        <v>0.05</v>
      </c>
      <c r="M160" s="0" t="n">
        <v>0.0721</v>
      </c>
      <c r="N160" s="0" t="n">
        <v>0.0221</v>
      </c>
      <c r="O160" s="0" t="inlineStr">
        <is>
          <t>—</t>
        </is>
      </c>
    </row>
    <row r="161">
      <c r="A161" s="0" t="inlineStr">
        <is>
          <t>20260610</t>
        </is>
      </c>
      <c r="B161" s="0" t="inlineStr">
        <is>
          <t>华安黄金ETF</t>
        </is>
      </c>
      <c r="C161" s="0" t="inlineStr">
        <is>
          <t>518880</t>
        </is>
      </c>
      <c r="D161" s="0" t="n">
        <v>47800</v>
      </c>
      <c r="E161" s="0" t="n">
        <v>9.3302</v>
      </c>
      <c r="F161" s="0" t="n">
        <v>445983.56</v>
      </c>
      <c r="G161" s="0" t="n">
        <v>8.736000000000001</v>
      </c>
      <c r="H161" s="0" t="inlineStr">
        <is>
          <t>-2.99%</t>
        </is>
      </c>
      <c r="I161" s="0" t="n">
        <v>417580.8</v>
      </c>
      <c r="J161" s="0" t="n">
        <v>-28402.76</v>
      </c>
      <c r="K161" s="0" t="n">
        <v>-0.06370000000000001</v>
      </c>
      <c r="L161" s="0" t="n">
        <v>0.15</v>
      </c>
      <c r="M161" s="0" t="n">
        <v>0.1205</v>
      </c>
      <c r="N161" s="0" t="n">
        <v>-0.0295</v>
      </c>
      <c r="O161" s="0" t="inlineStr">
        <is>
          <t>—</t>
        </is>
      </c>
    </row>
    <row r="162">
      <c r="A162" s="0" t="inlineStr">
        <is>
          <t>20260610</t>
        </is>
      </c>
      <c r="B162" s="0" t="inlineStr">
        <is>
          <t>银华日利ETF</t>
        </is>
      </c>
      <c r="C162" s="0" t="inlineStr">
        <is>
          <t>511880</t>
        </is>
      </c>
      <c r="D162" s="0" t="n">
        <v>0</v>
      </c>
      <c r="E162" s="0" t="n">
        <v>0</v>
      </c>
      <c r="F162" s="0" t="n">
        <v>0</v>
      </c>
      <c r="G162" s="0" t="n">
        <v>100.517</v>
      </c>
      <c r="H162" s="0" t="inlineStr">
        <is>
          <t>+0.00%</t>
        </is>
      </c>
      <c r="I162" s="0" t="n">
        <v>0</v>
      </c>
      <c r="J162" s="0" t="n">
        <v>0</v>
      </c>
      <c r="K162" s="0" t="n">
        <v>0</v>
      </c>
      <c r="L162" s="0" t="n">
        <v>0.05</v>
      </c>
      <c r="M162" s="0" t="n">
        <v>0</v>
      </c>
      <c r="N162" s="0" t="n">
        <v>-0.05</v>
      </c>
      <c r="O162" s="0" t="inlineStr">
        <is>
          <t>📊权重预警偏离-5.0%</t>
        </is>
      </c>
    </row>
    <row r="163">
      <c r="A163" s="0" t="inlineStr">
        <is>
          <t>20260610</t>
        </is>
      </c>
      <c r="B163" s="0" t="inlineStr">
        <is>
          <t>华宝添益ETF</t>
        </is>
      </c>
      <c r="C163" s="0" t="inlineStr">
        <is>
          <t>511990</t>
        </is>
      </c>
      <c r="D163" s="0" t="n">
        <v>0</v>
      </c>
      <c r="E163" s="0" t="n">
        <v>0</v>
      </c>
      <c r="F163" s="0" t="n">
        <v>0</v>
      </c>
      <c r="G163" s="0" t="n">
        <v>100.002</v>
      </c>
      <c r="H163" s="0" t="inlineStr">
        <is>
          <t>+0.00%</t>
        </is>
      </c>
      <c r="I163" s="0" t="n">
        <v>0</v>
      </c>
      <c r="J163" s="0" t="n">
        <v>0</v>
      </c>
      <c r="K163" s="0" t="n">
        <v>0</v>
      </c>
      <c r="L163" s="0" t="n">
        <v>0.05</v>
      </c>
      <c r="M163" s="0" t="n">
        <v>0</v>
      </c>
      <c r="N163" s="0" t="n">
        <v>-0.05</v>
      </c>
      <c r="O163" s="0" t="inlineStr">
        <is>
          <t>📊权重预警偏离-5.0%</t>
        </is>
      </c>
    </row>
    <row r="164">
      <c r="A164" s="0" t="inlineStr">
        <is>
          <t>20260611</t>
        </is>
      </c>
      <c r="B164" s="0" t="inlineStr">
        <is>
          <t>沪深300ETF</t>
        </is>
      </c>
      <c r="C164" s="0" t="inlineStr">
        <is>
          <t>510300</t>
        </is>
      </c>
      <c r="D164" s="0" t="n">
        <v>153800</v>
      </c>
      <c r="E164" s="0" t="n">
        <v>4.885</v>
      </c>
      <c r="F164" s="0" t="n">
        <v>751313</v>
      </c>
      <c r="G164" s="0" t="n">
        <v>4.751</v>
      </c>
      <c r="H164" s="0" t="inlineStr">
        <is>
          <t>-0.69%</t>
        </is>
      </c>
      <c r="I164" s="0" t="n">
        <v>730703.8</v>
      </c>
      <c r="J164" s="0" t="n">
        <v>-20609.2</v>
      </c>
      <c r="K164" s="0" t="n">
        <v>-0.0274</v>
      </c>
      <c r="L164" s="0" t="n">
        <v>0.15</v>
      </c>
      <c r="M164" s="0" t="n">
        <v>0.2186</v>
      </c>
      <c r="N164" s="0" t="n">
        <v>0.06859999999999999</v>
      </c>
      <c r="O164" s="0" t="inlineStr">
        <is>
          <t>📊权重预警偏离+6.9%</t>
        </is>
      </c>
    </row>
    <row r="165">
      <c r="A165" s="0" t="inlineStr">
        <is>
          <t>20260611</t>
        </is>
      </c>
      <c r="B165" s="0" t="inlineStr">
        <is>
          <t>中证500ETF</t>
        </is>
      </c>
      <c r="C165" s="0" t="inlineStr">
        <is>
          <t>510500</t>
        </is>
      </c>
      <c r="D165" s="0" t="n">
        <v>20000</v>
      </c>
      <c r="E165" s="0" t="n">
        <v>8.696</v>
      </c>
      <c r="F165" s="0" t="n">
        <v>173920</v>
      </c>
      <c r="G165" s="0" t="n">
        <v>8.132999999999999</v>
      </c>
      <c r="H165" s="0" t="inlineStr">
        <is>
          <t>-0.47%</t>
        </is>
      </c>
      <c r="I165" s="0" t="n">
        <v>162660</v>
      </c>
      <c r="J165" s="0" t="n">
        <v>-11260</v>
      </c>
      <c r="K165" s="0" t="n">
        <v>-0.06469999999999999</v>
      </c>
      <c r="L165" s="0" t="n">
        <v>0.1</v>
      </c>
      <c r="M165" s="0" t="n">
        <v>0.0487</v>
      </c>
      <c r="N165" s="0" t="n">
        <v>-0.0513</v>
      </c>
      <c r="O165" s="0" t="inlineStr">
        <is>
          <t>📊权重预警偏离-5.1%</t>
        </is>
      </c>
    </row>
    <row r="166">
      <c r="A166" s="0" t="inlineStr">
        <is>
          <t>20260611</t>
        </is>
      </c>
      <c r="B166" s="0" t="inlineStr">
        <is>
          <t>科创50ETF</t>
        </is>
      </c>
      <c r="C166" s="0" t="inlineStr">
        <is>
          <t>588050</t>
        </is>
      </c>
      <c r="D166" s="0" t="n">
        <v>60000</v>
      </c>
      <c r="E166" s="0" t="n">
        <v>1.838</v>
      </c>
      <c r="F166" s="0" t="n">
        <v>110280</v>
      </c>
      <c r="G166" s="0" t="n">
        <v>1.71</v>
      </c>
      <c r="H166" s="0" t="inlineStr">
        <is>
          <t>+0.65%</t>
        </is>
      </c>
      <c r="I166" s="0" t="n">
        <v>102600</v>
      </c>
      <c r="J166" s="0" t="n">
        <v>-7680</v>
      </c>
      <c r="K166" s="0" t="n">
        <v>-0.0696</v>
      </c>
      <c r="L166" s="0" t="n">
        <v>0.05</v>
      </c>
      <c r="M166" s="0" t="n">
        <v>0.0307</v>
      </c>
      <c r="N166" s="0" t="n">
        <v>-0.0193</v>
      </c>
      <c r="O166" s="0" t="inlineStr">
        <is>
          <t>⚡预警：浮亏-7.0% &gt;= -5%，暂停新增买入</t>
        </is>
      </c>
    </row>
    <row r="167">
      <c r="A167" s="0" t="inlineStr">
        <is>
          <t>20260611</t>
        </is>
      </c>
      <c r="B167" s="0" t="inlineStr">
        <is>
          <t>创业板ETF</t>
        </is>
      </c>
      <c r="C167" s="0" t="inlineStr">
        <is>
          <t>159915</t>
        </is>
      </c>
      <c r="D167" s="0" t="n">
        <v>63000</v>
      </c>
      <c r="E167" s="0" t="n">
        <v>3.968</v>
      </c>
      <c r="F167" s="0" t="n">
        <v>249984</v>
      </c>
      <c r="G167" s="0" t="n">
        <v>3.83</v>
      </c>
      <c r="H167" s="0" t="inlineStr">
        <is>
          <t>-1.03%</t>
        </is>
      </c>
      <c r="I167" s="0" t="n">
        <v>241290</v>
      </c>
      <c r="J167" s="0" t="n">
        <v>-8694</v>
      </c>
      <c r="K167" s="0" t="n">
        <v>-0.0348</v>
      </c>
      <c r="L167" s="0" t="n">
        <v>0.05</v>
      </c>
      <c r="M167" s="0" t="n">
        <v>0.0722</v>
      </c>
      <c r="N167" s="0" t="n">
        <v>0.0222</v>
      </c>
      <c r="O167" s="0" t="inlineStr">
        <is>
          <t>—</t>
        </is>
      </c>
    </row>
    <row r="168">
      <c r="A168" s="0" t="inlineStr">
        <is>
          <t>20260611</t>
        </is>
      </c>
      <c r="B168" s="0" t="inlineStr">
        <is>
          <t>红利低波ETF</t>
        </is>
      </c>
      <c r="C168" s="0" t="inlineStr">
        <is>
          <t>512890</t>
        </is>
      </c>
      <c r="D168" s="0" t="n">
        <v>218000</v>
      </c>
      <c r="E168" s="0" t="n">
        <v>1.15</v>
      </c>
      <c r="F168" s="0" t="n">
        <v>250700</v>
      </c>
      <c r="G168" s="0" t="n">
        <v>1.162</v>
      </c>
      <c r="H168" s="0" t="inlineStr">
        <is>
          <t>-0.85%</t>
        </is>
      </c>
      <c r="I168" s="0" t="n">
        <v>253316</v>
      </c>
      <c r="J168" s="0" t="n">
        <v>2616</v>
      </c>
      <c r="K168" s="0" t="n">
        <v>0.0104</v>
      </c>
      <c r="L168" s="0" t="n">
        <v>0.05</v>
      </c>
      <c r="M168" s="0" t="n">
        <v>0.07580000000000001</v>
      </c>
      <c r="N168" s="0" t="n">
        <v>0.0258</v>
      </c>
      <c r="O168" s="0" t="inlineStr">
        <is>
          <t>—</t>
        </is>
      </c>
    </row>
    <row r="169">
      <c r="A169" s="0" t="inlineStr">
        <is>
          <t>20260611</t>
        </is>
      </c>
      <c r="B169" s="0" t="inlineStr">
        <is>
          <t>可转债ETF</t>
        </is>
      </c>
      <c r="C169" s="0" t="inlineStr">
        <is>
          <t>511380</t>
        </is>
      </c>
      <c r="D169" s="0" t="n">
        <v>14500</v>
      </c>
      <c r="E169" s="0" t="n">
        <v>13.8644</v>
      </c>
      <c r="F169" s="0" t="n">
        <v>201033.8</v>
      </c>
      <c r="G169" s="0" t="n">
        <v>13.814</v>
      </c>
      <c r="H169" s="0" t="inlineStr">
        <is>
          <t>+0.32%</t>
        </is>
      </c>
      <c r="I169" s="0" t="n">
        <v>200303</v>
      </c>
      <c r="J169" s="0" t="n">
        <v>-730.8</v>
      </c>
      <c r="K169" s="0" t="n">
        <v>-0.0036</v>
      </c>
      <c r="L169" s="0" t="n">
        <v>0.1</v>
      </c>
      <c r="M169" s="0" t="n">
        <v>0.0599</v>
      </c>
      <c r="N169" s="0" t="n">
        <v>-0.0401</v>
      </c>
      <c r="O169" s="0" t="inlineStr">
        <is>
          <t>📊权重预警偏离-4.0%</t>
        </is>
      </c>
    </row>
    <row r="170">
      <c r="A170" s="0" t="inlineStr">
        <is>
          <t>20260611</t>
        </is>
      </c>
      <c r="B170" s="0" t="inlineStr">
        <is>
          <t>10年国债ETF</t>
        </is>
      </c>
      <c r="C170" s="0" t="inlineStr">
        <is>
          <t>511260</t>
        </is>
      </c>
      <c r="D170" s="0" t="n">
        <v>3700</v>
      </c>
      <c r="E170" s="0" t="n">
        <v>135.645</v>
      </c>
      <c r="F170" s="0" t="n">
        <v>501886.5</v>
      </c>
      <c r="G170" s="0" t="n">
        <v>135.511</v>
      </c>
      <c r="H170" s="0" t="inlineStr">
        <is>
          <t>-0.11%</t>
        </is>
      </c>
      <c r="I170" s="0" t="n">
        <v>501390.7</v>
      </c>
      <c r="J170" s="0" t="n">
        <v>-495.8</v>
      </c>
      <c r="K170" s="0" t="n">
        <v>-0.001</v>
      </c>
      <c r="L170" s="0" t="n">
        <v>0.1</v>
      </c>
      <c r="M170" s="0" t="n">
        <v>0.15</v>
      </c>
      <c r="N170" s="0" t="n">
        <v>0.05</v>
      </c>
      <c r="O170" s="0" t="inlineStr">
        <is>
          <t>📊权重预警偏离+5.0%</t>
        </is>
      </c>
    </row>
    <row r="171">
      <c r="A171" s="0" t="inlineStr">
        <is>
          <t>20260611</t>
        </is>
      </c>
      <c r="B171" s="0" t="inlineStr">
        <is>
          <t>5年国债ETF</t>
        </is>
      </c>
      <c r="C171" s="0" t="inlineStr">
        <is>
          <t>511010</t>
        </is>
      </c>
      <c r="D171" s="0" t="n">
        <v>3500</v>
      </c>
      <c r="E171" s="0" t="n">
        <v>141.2121</v>
      </c>
      <c r="F171" s="0" t="n">
        <v>494242.35</v>
      </c>
      <c r="G171" s="0" t="n">
        <v>141.138</v>
      </c>
      <c r="H171" s="0" t="inlineStr">
        <is>
          <t>-0.10%</t>
        </is>
      </c>
      <c r="I171" s="0" t="n">
        <v>493983</v>
      </c>
      <c r="J171" s="0" t="n">
        <v>-259.35</v>
      </c>
      <c r="K171" s="0" t="n">
        <v>-0.0005</v>
      </c>
      <c r="L171" s="0" t="n">
        <v>0.1</v>
      </c>
      <c r="M171" s="0" t="n">
        <v>0.1478</v>
      </c>
      <c r="N171" s="0" t="n">
        <v>0.0478</v>
      </c>
      <c r="O171" s="0" t="inlineStr">
        <is>
          <t>📊权重预警偏离+4.8%</t>
        </is>
      </c>
    </row>
    <row r="172">
      <c r="A172" s="0" t="inlineStr">
        <is>
          <t>20260611</t>
        </is>
      </c>
      <c r="B172" s="0" t="inlineStr">
        <is>
          <t>短融ETF</t>
        </is>
      </c>
      <c r="C172" s="0" t="inlineStr">
        <is>
          <t>511360</t>
        </is>
      </c>
      <c r="D172" s="0" t="n">
        <v>2200</v>
      </c>
      <c r="E172" s="0" t="n">
        <v>113.462</v>
      </c>
      <c r="F172" s="0" t="n">
        <v>249616.4</v>
      </c>
      <c r="G172" s="0" t="n">
        <v>113.552</v>
      </c>
      <c r="H172" s="0" t="inlineStr">
        <is>
          <t>-0.01%</t>
        </is>
      </c>
      <c r="I172" s="0" t="n">
        <v>249814.4</v>
      </c>
      <c r="J172" s="0" t="n">
        <v>198</v>
      </c>
      <c r="K172" s="0" t="n">
        <v>0.0008</v>
      </c>
      <c r="L172" s="0" t="n">
        <v>0.05</v>
      </c>
      <c r="M172" s="0" t="n">
        <v>0.0747</v>
      </c>
      <c r="N172" s="0" t="n">
        <v>0.0247</v>
      </c>
      <c r="O172" s="0" t="inlineStr">
        <is>
          <t>—</t>
        </is>
      </c>
    </row>
    <row r="173">
      <c r="A173" s="0" t="inlineStr">
        <is>
          <t>20260611</t>
        </is>
      </c>
      <c r="B173" s="0" t="inlineStr">
        <is>
          <t>黄金ETF</t>
        </is>
      </c>
      <c r="C173" s="0" t="inlineStr">
        <is>
          <t>518880</t>
        </is>
      </c>
      <c r="D173" s="0" t="n">
        <v>47800</v>
      </c>
      <c r="E173" s="0" t="n">
        <v>9.3302</v>
      </c>
      <c r="F173" s="0" t="n">
        <v>445983.56</v>
      </c>
      <c r="G173" s="0" t="n">
        <v>8.506</v>
      </c>
      <c r="H173" s="0" t="inlineStr">
        <is>
          <t>-2.63%</t>
        </is>
      </c>
      <c r="I173" s="0" t="n">
        <v>406586.8</v>
      </c>
      <c r="J173" s="0" t="n">
        <v>-39396.76</v>
      </c>
      <c r="K173" s="0" t="n">
        <v>-0.0883</v>
      </c>
      <c r="L173" s="0" t="n">
        <v>0.15</v>
      </c>
      <c r="M173" s="0" t="n">
        <v>0.1216</v>
      </c>
      <c r="N173" s="0" t="n">
        <v>-0.0284</v>
      </c>
      <c r="O173" s="0" t="inlineStr">
        <is>
          <t>—</t>
        </is>
      </c>
    </row>
    <row r="174">
      <c r="A174" s="0" t="inlineStr">
        <is>
          <t>20260611</t>
        </is>
      </c>
      <c r="B174" s="0" t="inlineStr">
        <is>
          <t>银华日利ETF</t>
        </is>
      </c>
      <c r="C174" s="0" t="inlineStr">
        <is>
          <t>511880</t>
        </is>
      </c>
      <c r="D174" s="0" t="n">
        <v>0</v>
      </c>
      <c r="F174" s="0" t="n">
        <v>0</v>
      </c>
      <c r="G174" s="0" t="n">
        <v>100.523</v>
      </c>
      <c r="H174" s="0" t="inlineStr">
        <is>
          <t>+0.01%</t>
        </is>
      </c>
      <c r="I174" s="0" t="n">
        <v>0</v>
      </c>
      <c r="J174" s="0" t="n">
        <v>0</v>
      </c>
      <c r="K174" s="0" t="n">
        <v>0</v>
      </c>
      <c r="L174" s="0" t="n">
        <v>0.05</v>
      </c>
      <c r="M174" s="0" t="n">
        <v>0</v>
      </c>
      <c r="N174" s="0" t="n">
        <v>-0.05</v>
      </c>
      <c r="O174" s="0" t="inlineStr">
        <is>
          <t>📊权重预警偏离-5.0%</t>
        </is>
      </c>
    </row>
    <row r="175">
      <c r="A175" s="0" t="inlineStr">
        <is>
          <t>20260611</t>
        </is>
      </c>
      <c r="B175" s="0" t="inlineStr">
        <is>
          <t>华宝添益ETF</t>
        </is>
      </c>
      <c r="C175" s="0" t="inlineStr">
        <is>
          <t>511990</t>
        </is>
      </c>
      <c r="D175" s="0" t="n">
        <v>0</v>
      </c>
      <c r="F175" s="0" t="n">
        <v>0</v>
      </c>
      <c r="G175" s="0" t="n">
        <v>100.002</v>
      </c>
      <c r="H175" s="0" t="inlineStr">
        <is>
          <t>+0.00%</t>
        </is>
      </c>
      <c r="I175" s="0" t="n">
        <v>0</v>
      </c>
      <c r="J175" s="0" t="n">
        <v>0</v>
      </c>
      <c r="K175" s="0" t="n">
        <v>0</v>
      </c>
      <c r="L175" s="0" t="n">
        <v>0.05</v>
      </c>
      <c r="M175" s="0" t="n">
        <v>0</v>
      </c>
      <c r="N175" s="0" t="n">
        <v>-0.05</v>
      </c>
      <c r="O175" s="0" t="inlineStr">
        <is>
          <t>📊权重预警偏离-5.0%</t>
        </is>
      </c>
    </row>
    <row r="176">
      <c r="A176" s="0" t="inlineStr">
        <is>
          <t>20260615</t>
        </is>
      </c>
      <c r="B176" s="0" t="inlineStr">
        <is>
          <t>沪深300ETF</t>
        </is>
      </c>
      <c r="C176" s="0" t="inlineStr">
        <is>
          <t>510300</t>
        </is>
      </c>
      <c r="D176" s="0" t="n">
        <v>153800</v>
      </c>
      <c r="E176" s="0" t="n">
        <v>4.885</v>
      </c>
      <c r="F176" s="0" t="n">
        <v>751313</v>
      </c>
      <c r="G176" s="0" t="n">
        <v>4.818</v>
      </c>
      <c r="H176" s="0" t="n">
        <v>0.0141</v>
      </c>
      <c r="I176" s="0" t="n">
        <v>741008.4</v>
      </c>
      <c r="J176" s="0" t="n">
        <v>-10304.6</v>
      </c>
      <c r="K176" s="0" t="n">
        <v>-0.0137</v>
      </c>
      <c r="L176" s="0" t="n">
        <v>0.15</v>
      </c>
      <c r="M176" s="0" t="n">
        <v>0.2156</v>
      </c>
      <c r="N176" s="0" t="n">
        <v>0.06560000000000001</v>
      </c>
      <c r="O176" s="0" t="inlineStr">
        <is>
          <t>📊权重预警偏离+6.6%</t>
        </is>
      </c>
    </row>
    <row r="177">
      <c r="A177" s="0" t="inlineStr">
        <is>
          <t>20260615</t>
        </is>
      </c>
      <c r="B177" s="0" t="inlineStr">
        <is>
          <t>中证500ETF</t>
        </is>
      </c>
      <c r="C177" s="0" t="inlineStr">
        <is>
          <t>510500</t>
        </is>
      </c>
      <c r="D177" s="0" t="n">
        <v>20000</v>
      </c>
      <c r="E177" s="0" t="n">
        <v>8.696</v>
      </c>
      <c r="F177" s="0" t="n">
        <v>173920</v>
      </c>
      <c r="G177" s="0" t="n">
        <v>8.242000000000001</v>
      </c>
      <c r="H177" s="0" t="n">
        <v>0.0134</v>
      </c>
      <c r="I177" s="0" t="n">
        <v>164840</v>
      </c>
      <c r="J177" s="0" t="n">
        <v>-9080</v>
      </c>
      <c r="K177" s="0" t="n">
        <v>-0.0522</v>
      </c>
      <c r="L177" s="0" t="n">
        <v>0.1</v>
      </c>
      <c r="M177" s="0" t="n">
        <v>0.048</v>
      </c>
      <c r="N177" s="0" t="n">
        <v>-0.052</v>
      </c>
      <c r="O177" s="0" t="inlineStr">
        <is>
          <t>📊权重预警偏离-5.2%</t>
        </is>
      </c>
    </row>
    <row r="178">
      <c r="A178" s="0" t="inlineStr">
        <is>
          <t>20260615</t>
        </is>
      </c>
      <c r="B178" s="0" t="inlineStr">
        <is>
          <t>科创50ETF</t>
        </is>
      </c>
      <c r="C178" s="0" t="inlineStr">
        <is>
          <t>588050</t>
        </is>
      </c>
      <c r="D178" s="0" t="n">
        <v>60000</v>
      </c>
      <c r="E178" s="0" t="n">
        <v>1.838</v>
      </c>
      <c r="F178" s="0" t="n">
        <v>110280</v>
      </c>
      <c r="G178" s="0" t="n">
        <v>1.709</v>
      </c>
      <c r="H178" s="0" t="n">
        <v>-0.0005999999999999999</v>
      </c>
      <c r="I178" s="0" t="n">
        <v>102540</v>
      </c>
      <c r="J178" s="0" t="n">
        <v>-7740</v>
      </c>
      <c r="K178" s="0" t="n">
        <v>-0.0702</v>
      </c>
      <c r="L178" s="0" t="n">
        <v>0.05</v>
      </c>
      <c r="M178" s="0" t="n">
        <v>0.0298</v>
      </c>
      <c r="N178" s="0" t="n">
        <v>-0.0202</v>
      </c>
      <c r="O178" s="0" t="inlineStr">
        <is>
          <t>⚡预警：浮亏-7.0% &gt;= -5%，暂停新增买入</t>
        </is>
      </c>
    </row>
    <row r="179">
      <c r="A179" s="0" t="inlineStr">
        <is>
          <t>20260615</t>
        </is>
      </c>
      <c r="B179" s="0" t="inlineStr">
        <is>
          <t>创业板ETF</t>
        </is>
      </c>
      <c r="C179" s="0" t="inlineStr">
        <is>
          <t>159915</t>
        </is>
      </c>
      <c r="D179" s="0" t="n">
        <v>63000</v>
      </c>
      <c r="E179" s="0" t="n">
        <v>3.968</v>
      </c>
      <c r="F179" s="0" t="n">
        <v>249984</v>
      </c>
      <c r="G179" s="0" t="n">
        <v>3.846</v>
      </c>
      <c r="H179" s="0" t="n">
        <v>0.0042</v>
      </c>
      <c r="I179" s="0" t="n">
        <v>242298</v>
      </c>
      <c r="J179" s="0" t="n">
        <v>-7686</v>
      </c>
      <c r="K179" s="0" t="n">
        <v>-0.0307</v>
      </c>
      <c r="L179" s="0" t="n">
        <v>0.05</v>
      </c>
      <c r="M179" s="0" t="n">
        <v>0.07049999999999999</v>
      </c>
      <c r="N179" s="0" t="n">
        <v>0.0205</v>
      </c>
      <c r="O179" s="0" t="inlineStr">
        <is>
          <t>—</t>
        </is>
      </c>
    </row>
    <row r="180">
      <c r="A180" s="0" t="inlineStr">
        <is>
          <t>20260615</t>
        </is>
      </c>
      <c r="B180" s="0" t="inlineStr">
        <is>
          <t>红利低波ETF</t>
        </is>
      </c>
      <c r="C180" s="0" t="inlineStr">
        <is>
          <t>512890</t>
        </is>
      </c>
      <c r="D180" s="0" t="n">
        <v>218000</v>
      </c>
      <c r="E180" s="0" t="n">
        <v>1.15</v>
      </c>
      <c r="F180" s="0" t="n">
        <v>250700</v>
      </c>
      <c r="G180" s="0" t="n">
        <v>1.172</v>
      </c>
      <c r="H180" s="0" t="n">
        <v>0.0086</v>
      </c>
      <c r="I180" s="0" t="n">
        <v>255496</v>
      </c>
      <c r="J180" s="0" t="n">
        <v>4796</v>
      </c>
      <c r="K180" s="0" t="n">
        <v>0.0191</v>
      </c>
      <c r="L180" s="0" t="n">
        <v>0.05</v>
      </c>
      <c r="M180" s="0" t="n">
        <v>0.0743</v>
      </c>
      <c r="N180" s="0" t="n">
        <v>0.0243</v>
      </c>
      <c r="O180" s="0" t="inlineStr">
        <is>
          <t>—</t>
        </is>
      </c>
    </row>
    <row r="181">
      <c r="A181" s="0" t="inlineStr">
        <is>
          <t>20260615</t>
        </is>
      </c>
      <c r="B181" s="0" t="inlineStr">
        <is>
          <t>可转债ETF</t>
        </is>
      </c>
      <c r="C181" s="0" t="inlineStr">
        <is>
          <t>511380</t>
        </is>
      </c>
      <c r="D181" s="0" t="n">
        <v>14500</v>
      </c>
      <c r="E181" s="0" t="n">
        <v>13.8644</v>
      </c>
      <c r="F181" s="0" t="n">
        <v>201033.8</v>
      </c>
      <c r="G181" s="0" t="n">
        <v>13.929</v>
      </c>
      <c r="H181" s="0" t="n">
        <v>0.0083</v>
      </c>
      <c r="I181" s="0" t="n">
        <v>201970.5</v>
      </c>
      <c r="J181" s="0" t="n">
        <v>936.7</v>
      </c>
      <c r="K181" s="0" t="n">
        <v>0.0047</v>
      </c>
      <c r="L181" s="0" t="n">
        <v>0.1</v>
      </c>
      <c r="M181" s="0" t="n">
        <v>0.0588</v>
      </c>
      <c r="N181" s="0" t="n">
        <v>-0.0412</v>
      </c>
      <c r="O181" s="0" t="inlineStr">
        <is>
          <t>📊权重预警偏离-4.1%</t>
        </is>
      </c>
    </row>
    <row r="182">
      <c r="A182" s="0" t="inlineStr">
        <is>
          <t>20260615</t>
        </is>
      </c>
      <c r="B182" s="0" t="inlineStr">
        <is>
          <t>10年国债ETF</t>
        </is>
      </c>
      <c r="C182" s="0" t="inlineStr">
        <is>
          <t>511260</t>
        </is>
      </c>
      <c r="D182" s="0" t="n">
        <v>3700</v>
      </c>
      <c r="E182" s="0" t="n">
        <v>135.645</v>
      </c>
      <c r="F182" s="0" t="n">
        <v>501886.5</v>
      </c>
      <c r="G182" s="0" t="n">
        <v>135.582</v>
      </c>
      <c r="H182" s="0" t="n">
        <v>0.0005</v>
      </c>
      <c r="I182" s="0" t="n">
        <v>501653.4</v>
      </c>
      <c r="J182" s="0" t="n">
        <v>-233.1</v>
      </c>
      <c r="K182" s="0" t="n">
        <v>-0.0005</v>
      </c>
      <c r="L182" s="0" t="n">
        <v>0.1</v>
      </c>
      <c r="M182" s="0" t="n">
        <v>0.146</v>
      </c>
      <c r="N182" s="0" t="n">
        <v>0.046</v>
      </c>
      <c r="O182" s="0" t="inlineStr">
        <is>
          <t>📊权重预警偏离+4.6%</t>
        </is>
      </c>
    </row>
    <row r="183">
      <c r="A183" s="0" t="inlineStr">
        <is>
          <t>20260615</t>
        </is>
      </c>
      <c r="B183" s="0" t="inlineStr">
        <is>
          <t>5年国债ETF</t>
        </is>
      </c>
      <c r="C183" s="0" t="inlineStr">
        <is>
          <t>511010</t>
        </is>
      </c>
      <c r="D183" s="0" t="n">
        <v>3500</v>
      </c>
      <c r="E183" s="0" t="n">
        <v>141.2121</v>
      </c>
      <c r="F183" s="0" t="n">
        <v>494242.35</v>
      </c>
      <c r="G183" s="0" t="n">
        <v>141.163</v>
      </c>
      <c r="H183" s="0" t="n">
        <v>0.0002</v>
      </c>
      <c r="I183" s="0" t="n">
        <v>494070.5</v>
      </c>
      <c r="J183" s="0" t="n">
        <v>-171.85</v>
      </c>
      <c r="K183" s="0" t="n">
        <v>-0.0003</v>
      </c>
      <c r="L183" s="0" t="n">
        <v>0.1</v>
      </c>
      <c r="M183" s="0" t="n">
        <v>0.1438</v>
      </c>
      <c r="N183" s="0" t="n">
        <v>0.0438</v>
      </c>
      <c r="O183" s="0" t="inlineStr">
        <is>
          <t>📊权重预警偏离+4.4%</t>
        </is>
      </c>
    </row>
    <row r="184">
      <c r="A184" s="0" t="inlineStr">
        <is>
          <t>20260615</t>
        </is>
      </c>
      <c r="B184" s="0" t="inlineStr">
        <is>
          <t>短融ETF</t>
        </is>
      </c>
      <c r="C184" s="0" t="inlineStr">
        <is>
          <t>511360</t>
        </is>
      </c>
      <c r="D184" s="0" t="n">
        <v>2200</v>
      </c>
      <c r="E184" s="0" t="n">
        <v>113.462</v>
      </c>
      <c r="F184" s="0" t="n">
        <v>249616.4</v>
      </c>
      <c r="G184" s="0" t="n">
        <v>113.538</v>
      </c>
      <c r="H184" s="0" t="n">
        <v>-0.0001</v>
      </c>
      <c r="I184" s="0" t="n">
        <v>249783.6</v>
      </c>
      <c r="J184" s="0" t="n">
        <v>167.2</v>
      </c>
      <c r="K184" s="0" t="n">
        <v>0.0007</v>
      </c>
      <c r="L184" s="0" t="n">
        <v>0.05</v>
      </c>
      <c r="M184" s="0" t="n">
        <v>0.0727</v>
      </c>
      <c r="N184" s="0" t="n">
        <v>0.0227</v>
      </c>
      <c r="O184" s="0" t="inlineStr">
        <is>
          <t>—</t>
        </is>
      </c>
    </row>
    <row r="185">
      <c r="A185" s="0" t="inlineStr">
        <is>
          <t>20260615</t>
        </is>
      </c>
      <c r="B185" s="0" t="inlineStr">
        <is>
          <t>黄金ETF</t>
        </is>
      </c>
      <c r="C185" s="0" t="inlineStr">
        <is>
          <t>518880</t>
        </is>
      </c>
      <c r="D185" s="0" t="n">
        <v>55800</v>
      </c>
      <c r="E185" s="0" t="n">
        <v>9.232699999999999</v>
      </c>
      <c r="F185" s="0" t="n">
        <v>515184.66</v>
      </c>
      <c r="G185" s="0" t="n">
        <v>8.659000000000001</v>
      </c>
      <c r="H185" s="0" t="n">
        <v>0.018</v>
      </c>
      <c r="I185" s="0" t="n">
        <v>483172.2</v>
      </c>
      <c r="J185" s="0" t="n">
        <v>-32012.46</v>
      </c>
      <c r="K185" s="0" t="n">
        <v>-0.0621</v>
      </c>
      <c r="L185" s="0" t="n">
        <v>0.15</v>
      </c>
      <c r="M185" s="0" t="n">
        <v>0.1406</v>
      </c>
      <c r="N185" s="0" t="n">
        <v>-0.0094</v>
      </c>
      <c r="O185" s="0" t="inlineStr">
        <is>
          <t>—</t>
        </is>
      </c>
    </row>
    <row r="186">
      <c r="A186" s="0" t="inlineStr">
        <is>
          <t>20260615</t>
        </is>
      </c>
      <c r="B186" s="0" t="inlineStr">
        <is>
          <t>银华日利ETF</t>
        </is>
      </c>
      <c r="C186" s="0" t="inlineStr">
        <is>
          <t>511880</t>
        </is>
      </c>
      <c r="G186" s="0" t="n">
        <v>100.517</v>
      </c>
      <c r="H186" s="0" t="n">
        <v>-0.0001</v>
      </c>
      <c r="I186" s="0" t="n">
        <v>0</v>
      </c>
      <c r="J186" s="0" t="n">
        <v>0</v>
      </c>
      <c r="K186" s="0" t="n">
        <v>0</v>
      </c>
      <c r="L186" s="0" t="n">
        <v>0.05</v>
      </c>
      <c r="M186" s="0" t="n">
        <v>0</v>
      </c>
      <c r="N186" s="0" t="n">
        <v>-0.05</v>
      </c>
      <c r="O186" s="0" t="inlineStr">
        <is>
          <t>📊权重预警偏离-5.0%</t>
        </is>
      </c>
    </row>
    <row r="187">
      <c r="A187" s="0" t="inlineStr">
        <is>
          <t>20260615</t>
        </is>
      </c>
      <c r="B187" s="0" t="inlineStr">
        <is>
          <t>华宝添益ETF</t>
        </is>
      </c>
      <c r="C187" s="0" t="inlineStr">
        <is>
          <t>511990</t>
        </is>
      </c>
      <c r="G187" s="0" t="n">
        <v>100.003</v>
      </c>
      <c r="I187" s="0" t="n">
        <v>0</v>
      </c>
      <c r="J187" s="0" t="n">
        <v>0</v>
      </c>
      <c r="K187" s="0" t="n">
        <v>0</v>
      </c>
      <c r="L187" s="0" t="n">
        <v>0.05</v>
      </c>
      <c r="M187" s="0" t="n">
        <v>0</v>
      </c>
      <c r="N187" s="0" t="n">
        <v>-0.05</v>
      </c>
      <c r="O187" s="0" t="inlineStr">
        <is>
          <t>📊权重预警偏离-5.0%</t>
        </is>
      </c>
    </row>
    <row r="188">
      <c r="A188" s="0" t="inlineStr">
        <is>
          <t>20260616</t>
        </is>
      </c>
      <c r="B188" s="0" t="inlineStr">
        <is>
          <t>沪深300ETF</t>
        </is>
      </c>
      <c r="C188" s="0" t="inlineStr">
        <is>
          <t>510300</t>
        </is>
      </c>
      <c r="D188" s="0" t="n">
        <v>153800</v>
      </c>
      <c r="E188" s="0" t="n">
        <v>4.885</v>
      </c>
      <c r="F188" s="0" t="n">
        <v>751313</v>
      </c>
      <c r="G188" s="0" t="n">
        <v>4.91</v>
      </c>
      <c r="H188" s="0" t="n">
        <v>-0.0018</v>
      </c>
      <c r="I188" s="0" t="n">
        <v>755158</v>
      </c>
      <c r="J188" s="0" t="n">
        <v>3845</v>
      </c>
      <c r="K188" s="0" t="n">
        <v>0.0051</v>
      </c>
      <c r="L188" s="0" t="n">
        <v>0.15</v>
      </c>
      <c r="M188" s="0" t="n">
        <v>0.216</v>
      </c>
      <c r="N188" s="0" t="n">
        <v>0.066</v>
      </c>
      <c r="O188" s="0" t="inlineStr">
        <is>
          <t>—</t>
        </is>
      </c>
    </row>
    <row r="189">
      <c r="A189" s="0" t="inlineStr">
        <is>
          <t>20260616</t>
        </is>
      </c>
      <c r="B189" s="0" t="inlineStr">
        <is>
          <t>中证500ETF</t>
        </is>
      </c>
      <c r="C189" s="0" t="inlineStr">
        <is>
          <t>510500</t>
        </is>
      </c>
      <c r="D189" s="0" t="n">
        <v>20000</v>
      </c>
      <c r="E189" s="0" t="n">
        <v>8.696</v>
      </c>
      <c r="F189" s="0" t="n">
        <v>173920</v>
      </c>
      <c r="G189" s="0" t="n">
        <v>8.632</v>
      </c>
      <c r="H189" s="0" t="n">
        <v>0.0103</v>
      </c>
      <c r="I189" s="0" t="n">
        <v>172640</v>
      </c>
      <c r="J189" s="0" t="n">
        <v>-1280</v>
      </c>
      <c r="K189" s="0" t="n">
        <v>-0.0074</v>
      </c>
      <c r="L189" s="0" t="n">
        <v>0.1</v>
      </c>
      <c r="M189" s="0" t="n">
        <v>0.0494</v>
      </c>
      <c r="N189" s="0" t="n">
        <v>-0.0506</v>
      </c>
      <c r="O189" s="0" t="inlineStr">
        <is>
          <t>—</t>
        </is>
      </c>
    </row>
    <row r="190">
      <c r="A190" s="0" t="inlineStr">
        <is>
          <t>20260616</t>
        </is>
      </c>
      <c r="B190" s="0" t="inlineStr">
        <is>
          <t>科创50ETF</t>
        </is>
      </c>
      <c r="C190" s="0" t="inlineStr">
        <is>
          <t>588050</t>
        </is>
      </c>
      <c r="D190" s="0" t="n">
        <v>60000</v>
      </c>
      <c r="E190" s="0" t="n">
        <v>1.838</v>
      </c>
      <c r="F190" s="0" t="n">
        <v>110280</v>
      </c>
      <c r="G190" s="0" t="n">
        <v>1.799</v>
      </c>
      <c r="H190" s="0" t="n">
        <v>0.0022</v>
      </c>
      <c r="I190" s="0" t="n">
        <v>107940</v>
      </c>
      <c r="J190" s="0" t="n">
        <v>-2340</v>
      </c>
      <c r="K190" s="0" t="n">
        <v>-0.0212</v>
      </c>
      <c r="L190" s="0" t="n">
        <v>0.05</v>
      </c>
      <c r="M190" s="0" t="n">
        <v>0.0309</v>
      </c>
      <c r="N190" s="0" t="n">
        <v>-0.0191</v>
      </c>
      <c r="O190" s="0" t="inlineStr">
        <is>
          <t>—</t>
        </is>
      </c>
    </row>
    <row r="191">
      <c r="A191" s="0" t="inlineStr">
        <is>
          <t>20260616</t>
        </is>
      </c>
      <c r="B191" s="0" t="inlineStr">
        <is>
          <t>创业板ETF</t>
        </is>
      </c>
      <c r="C191" s="0" t="inlineStr">
        <is>
          <t>159915</t>
        </is>
      </c>
      <c r="D191" s="0" t="n">
        <v>63000</v>
      </c>
      <c r="E191" s="0" t="n">
        <v>3.968</v>
      </c>
      <c r="F191" s="0" t="n">
        <v>249984</v>
      </c>
      <c r="G191" s="0" t="n">
        <v>4.111</v>
      </c>
      <c r="H191" s="0" t="n">
        <v>0.0163</v>
      </c>
      <c r="I191" s="0" t="n">
        <v>258993</v>
      </c>
      <c r="J191" s="0" t="n">
        <v>9009</v>
      </c>
      <c r="K191" s="0" t="n">
        <v>0.036</v>
      </c>
      <c r="L191" s="0" t="n">
        <v>0.05</v>
      </c>
      <c r="M191" s="0" t="n">
        <v>0.0741</v>
      </c>
      <c r="N191" s="0" t="n">
        <v>0.0241</v>
      </c>
      <c r="O191" s="0" t="inlineStr">
        <is>
          <t>—</t>
        </is>
      </c>
    </row>
    <row r="192">
      <c r="A192" s="0" t="inlineStr">
        <is>
          <t>20260616</t>
        </is>
      </c>
      <c r="B192" s="0" t="inlineStr">
        <is>
          <t>红利低波ETF</t>
        </is>
      </c>
      <c r="C192" s="0" t="inlineStr">
        <is>
          <t>512890</t>
        </is>
      </c>
      <c r="D192" s="0" t="n">
        <v>218000</v>
      </c>
      <c r="E192" s="0" t="n">
        <v>1.15</v>
      </c>
      <c r="F192" s="0" t="n">
        <v>250700</v>
      </c>
      <c r="G192" s="0" t="n">
        <v>1.145</v>
      </c>
      <c r="H192" s="0" t="n">
        <v>-0.0138</v>
      </c>
      <c r="I192" s="0" t="n">
        <v>249610</v>
      </c>
      <c r="J192" s="0" t="n">
        <v>-1090</v>
      </c>
      <c r="K192" s="0" t="n">
        <v>-0.0043</v>
      </c>
      <c r="L192" s="0" t="n">
        <v>0.05</v>
      </c>
      <c r="M192" s="0" t="n">
        <v>0.07140000000000001</v>
      </c>
      <c r="N192" s="0" t="n">
        <v>0.0214</v>
      </c>
      <c r="O192" s="0" t="inlineStr">
        <is>
          <t>—</t>
        </is>
      </c>
    </row>
    <row r="193">
      <c r="A193" s="0" t="inlineStr">
        <is>
          <t>20260616</t>
        </is>
      </c>
      <c r="B193" s="0" t="inlineStr">
        <is>
          <t>可转债ETF</t>
        </is>
      </c>
      <c r="C193" s="0" t="inlineStr">
        <is>
          <t>511380</t>
        </is>
      </c>
      <c r="D193" s="0" t="n">
        <v>14500</v>
      </c>
      <c r="E193" s="0" t="n">
        <v>13.8644</v>
      </c>
      <c r="F193" s="0" t="n">
        <v>201033.8</v>
      </c>
      <c r="G193" s="0" t="n">
        <v>14.219</v>
      </c>
      <c r="H193" s="0" t="n">
        <v>0.004</v>
      </c>
      <c r="I193" s="0" t="n">
        <v>206175.5</v>
      </c>
      <c r="J193" s="0" t="n">
        <v>5141.7</v>
      </c>
      <c r="K193" s="0" t="n">
        <v>0.0256</v>
      </c>
      <c r="L193" s="0" t="n">
        <v>0.1</v>
      </c>
      <c r="M193" s="0" t="n">
        <v>0.059</v>
      </c>
      <c r="N193" s="0" t="n">
        <v>-0.041</v>
      </c>
      <c r="O193" s="0" t="inlineStr">
        <is>
          <t>—</t>
        </is>
      </c>
    </row>
    <row r="194">
      <c r="A194" s="0" t="inlineStr">
        <is>
          <t>20260616</t>
        </is>
      </c>
      <c r="B194" s="0" t="inlineStr">
        <is>
          <t>10年国债ETF</t>
        </is>
      </c>
      <c r="C194" s="0" t="inlineStr">
        <is>
          <t>511260</t>
        </is>
      </c>
      <c r="D194" s="0" t="n">
        <v>3700</v>
      </c>
      <c r="E194" s="0" t="n">
        <v>135.645</v>
      </c>
      <c r="F194" s="0" t="n">
        <v>501886.5</v>
      </c>
      <c r="G194" s="0" t="n">
        <v>135.838</v>
      </c>
      <c r="H194" s="0" t="n">
        <v>0.0012</v>
      </c>
      <c r="I194" s="0" t="n">
        <v>502600.6</v>
      </c>
      <c r="J194" s="0" t="n">
        <v>714.1</v>
      </c>
      <c r="K194" s="0" t="n">
        <v>0.0014</v>
      </c>
      <c r="L194" s="0" t="n">
        <v>0.1</v>
      </c>
      <c r="M194" s="0" t="n">
        <v>0.1437</v>
      </c>
      <c r="N194" s="0" t="n">
        <v>0.0437</v>
      </c>
      <c r="O194" s="0" t="inlineStr">
        <is>
          <t>—</t>
        </is>
      </c>
    </row>
    <row r="195">
      <c r="A195" s="0" t="inlineStr">
        <is>
          <t>20260616</t>
        </is>
      </c>
      <c r="B195" s="0" t="inlineStr">
        <is>
          <t>5年国债ETF</t>
        </is>
      </c>
      <c r="C195" s="0" t="inlineStr">
        <is>
          <t>511010</t>
        </is>
      </c>
      <c r="D195" s="0" t="n">
        <v>3500</v>
      </c>
      <c r="E195" s="0" t="n">
        <v>141.2121</v>
      </c>
      <c r="F195" s="0" t="n">
        <v>494242.35</v>
      </c>
      <c r="G195" s="0" t="n">
        <v>141.309</v>
      </c>
      <c r="H195" s="0" t="n">
        <v>0.0008</v>
      </c>
      <c r="I195" s="0" t="n">
        <v>494581.5</v>
      </c>
      <c r="J195" s="0" t="n">
        <v>339.15</v>
      </c>
      <c r="K195" s="0" t="n">
        <v>0.0007</v>
      </c>
      <c r="L195" s="0" t="n">
        <v>0.1</v>
      </c>
      <c r="M195" s="0" t="n">
        <v>0.1414</v>
      </c>
      <c r="N195" s="0" t="n">
        <v>0.0414</v>
      </c>
      <c r="O195" s="0" t="inlineStr">
        <is>
          <t>—</t>
        </is>
      </c>
    </row>
    <row r="196">
      <c r="A196" s="0" t="inlineStr">
        <is>
          <t>20260616</t>
        </is>
      </c>
      <c r="B196" s="0" t="inlineStr">
        <is>
          <t>短融ETF</t>
        </is>
      </c>
      <c r="C196" s="0" t="inlineStr">
        <is>
          <t>511360</t>
        </is>
      </c>
      <c r="D196" s="0" t="n">
        <v>2200</v>
      </c>
      <c r="E196" s="0" t="n">
        <v>113.462</v>
      </c>
      <c r="F196" s="0" t="n">
        <v>249616.4</v>
      </c>
      <c r="G196" s="0" t="n">
        <v>113.547</v>
      </c>
      <c r="I196" s="0" t="n">
        <v>249803.4</v>
      </c>
      <c r="J196" s="0" t="n">
        <v>187</v>
      </c>
      <c r="K196" s="0" t="n">
        <v>0.0007</v>
      </c>
      <c r="L196" s="0" t="n">
        <v>0.05</v>
      </c>
      <c r="M196" s="0" t="n">
        <v>0.07140000000000001</v>
      </c>
      <c r="N196" s="0" t="n">
        <v>0.0214</v>
      </c>
      <c r="O196" s="0" t="inlineStr">
        <is>
          <t>—</t>
        </is>
      </c>
    </row>
    <row r="197">
      <c r="A197" s="0" t="inlineStr">
        <is>
          <t>20260616</t>
        </is>
      </c>
      <c r="B197" s="0" t="inlineStr">
        <is>
          <t>黄金ETF</t>
        </is>
      </c>
      <c r="C197" s="0" t="inlineStr">
        <is>
          <t>518880</t>
        </is>
      </c>
      <c r="D197" s="0" t="n">
        <v>55800</v>
      </c>
      <c r="E197" s="0" t="n">
        <v>9.232699999999999</v>
      </c>
      <c r="F197" s="0" t="n">
        <v>515184.66</v>
      </c>
      <c r="G197" s="0" t="n">
        <v>8.949</v>
      </c>
      <c r="H197" s="0" t="n">
        <v>0.0024</v>
      </c>
      <c r="I197" s="0" t="n">
        <v>499354.2</v>
      </c>
      <c r="J197" s="0" t="n">
        <v>-15830.46</v>
      </c>
      <c r="K197" s="0" t="n">
        <v>-0.0307</v>
      </c>
      <c r="L197" s="0" t="n">
        <v>0.15</v>
      </c>
      <c r="M197" s="0" t="n">
        <v>0.1428</v>
      </c>
      <c r="N197" s="0" t="n">
        <v>-0.0072</v>
      </c>
      <c r="O197" s="0" t="inlineStr">
        <is>
          <t>—</t>
        </is>
      </c>
    </row>
    <row r="198">
      <c r="A198" s="0" t="inlineStr">
        <is>
          <t>20260616</t>
        </is>
      </c>
      <c r="B198" s="0" t="inlineStr">
        <is>
          <t>银华日利ETF</t>
        </is>
      </c>
      <c r="C198" s="0" t="inlineStr">
        <is>
          <t>511880</t>
        </is>
      </c>
      <c r="G198" s="0" t="n">
        <v>100.522</v>
      </c>
      <c r="I198" s="0" t="n">
        <v>0</v>
      </c>
      <c r="J198" s="0" t="n">
        <v>0</v>
      </c>
      <c r="K198" s="0" t="n">
        <v>0</v>
      </c>
      <c r="L198" s="0" t="n">
        <v>0.05</v>
      </c>
      <c r="M198" s="0" t="n">
        <v>0</v>
      </c>
      <c r="N198" s="0" t="n">
        <v>-0.05</v>
      </c>
      <c r="O198" s="0" t="inlineStr">
        <is>
          <t>—</t>
        </is>
      </c>
    </row>
    <row r="199">
      <c r="A199" s="0" t="inlineStr">
        <is>
          <t>20260616</t>
        </is>
      </c>
      <c r="B199" s="0" t="inlineStr">
        <is>
          <t>华宝添益ETF</t>
        </is>
      </c>
      <c r="C199" s="0" t="inlineStr">
        <is>
          <t>511990</t>
        </is>
      </c>
      <c r="G199" s="0" t="n">
        <v>99.996</v>
      </c>
      <c r="I199" s="0" t="n">
        <v>0</v>
      </c>
      <c r="J199" s="0" t="n">
        <v>0</v>
      </c>
      <c r="K199" s="0" t="n">
        <v>0</v>
      </c>
      <c r="L199" s="0" t="n">
        <v>0.05</v>
      </c>
      <c r="M199" s="0" t="n">
        <v>0</v>
      </c>
      <c r="N199" s="0" t="n">
        <v>-0.05</v>
      </c>
      <c r="O199" s="0" t="inlineStr">
        <is>
          <t>—</t>
        </is>
      </c>
    </row>
    <row r="200">
      <c r="A200" s="0" t="inlineStr">
        <is>
          <t>20260617</t>
        </is>
      </c>
      <c r="B200" s="0" t="inlineStr">
        <is>
          <t>沪深300ETF</t>
        </is>
      </c>
      <c r="C200" s="0" t="inlineStr">
        <is>
          <t>510300</t>
        </is>
      </c>
      <c r="D200" s="0" t="n">
        <v>153800</v>
      </c>
      <c r="E200" s="0" t="n">
        <v>4.885</v>
      </c>
      <c r="F200" s="0" t="n">
        <v>751313</v>
      </c>
      <c r="G200" s="0" t="n">
        <v>4.958</v>
      </c>
      <c r="H200" s="0" t="n">
        <v>0.0098</v>
      </c>
      <c r="I200" s="0" t="n">
        <v>762540.4</v>
      </c>
      <c r="J200" s="0" t="n">
        <v>11227.4</v>
      </c>
      <c r="K200" s="0" t="n">
        <v>0.0149</v>
      </c>
      <c r="L200" s="0" t="n">
        <v>0.15</v>
      </c>
      <c r="M200" s="0" t="n">
        <v>0.2169</v>
      </c>
      <c r="N200" s="0" t="n">
        <v>0.0669</v>
      </c>
      <c r="O200" s="0" t="inlineStr">
        <is>
          <t>—</t>
        </is>
      </c>
    </row>
    <row r="201">
      <c r="A201" s="0" t="inlineStr">
        <is>
          <t>20260617</t>
        </is>
      </c>
      <c r="B201" s="0" t="inlineStr">
        <is>
          <t>中证500ETF</t>
        </is>
      </c>
      <c r="C201" s="0" t="inlineStr">
        <is>
          <t>510500</t>
        </is>
      </c>
      <c r="D201" s="0" t="n">
        <v>20000</v>
      </c>
      <c r="E201" s="0" t="n">
        <v>8.696</v>
      </c>
      <c r="F201" s="0" t="n">
        <v>173920</v>
      </c>
      <c r="G201" s="0" t="n">
        <v>8.763</v>
      </c>
      <c r="H201" s="0" t="n">
        <v>0.0152</v>
      </c>
      <c r="I201" s="0" t="n">
        <v>175260</v>
      </c>
      <c r="J201" s="0" t="n">
        <v>1340</v>
      </c>
      <c r="K201" s="0" t="n">
        <v>0.0077</v>
      </c>
      <c r="L201" s="0" t="n">
        <v>0.1</v>
      </c>
      <c r="M201" s="0" t="n">
        <v>0.0499</v>
      </c>
      <c r="N201" s="0" t="n">
        <v>-0.0501</v>
      </c>
      <c r="O201" s="0" t="inlineStr">
        <is>
          <t>—</t>
        </is>
      </c>
    </row>
    <row r="202">
      <c r="A202" s="0" t="inlineStr">
        <is>
          <t>20260617</t>
        </is>
      </c>
      <c r="B202" s="0" t="inlineStr">
        <is>
          <t>科创50ETF</t>
        </is>
      </c>
      <c r="C202" s="0" t="inlineStr">
        <is>
          <t>588050</t>
        </is>
      </c>
      <c r="D202" s="0" t="n">
        <v>60000</v>
      </c>
      <c r="E202" s="0" t="n">
        <v>1.838</v>
      </c>
      <c r="F202" s="0" t="n">
        <v>110280</v>
      </c>
      <c r="G202" s="0" t="n">
        <v>1.883</v>
      </c>
      <c r="H202" s="0" t="n">
        <v>0.0467</v>
      </c>
      <c r="I202" s="0" t="n">
        <v>112980</v>
      </c>
      <c r="J202" s="0" t="n">
        <v>2700</v>
      </c>
      <c r="K202" s="0" t="n">
        <v>0.0245</v>
      </c>
      <c r="L202" s="0" t="n">
        <v>0.05</v>
      </c>
      <c r="M202" s="0" t="n">
        <v>0.0321</v>
      </c>
      <c r="N202" s="0" t="n">
        <v>-0.0179</v>
      </c>
      <c r="O202" s="0" t="inlineStr">
        <is>
          <t>—</t>
        </is>
      </c>
    </row>
    <row r="203">
      <c r="A203" s="0" t="inlineStr">
        <is>
          <t>20260617</t>
        </is>
      </c>
      <c r="B203" s="0" t="inlineStr">
        <is>
          <t>创业板ETF</t>
        </is>
      </c>
      <c r="C203" s="0" t="inlineStr">
        <is>
          <t>159915</t>
        </is>
      </c>
      <c r="D203" s="0" t="n">
        <v>63000</v>
      </c>
      <c r="E203" s="0" t="n">
        <v>3.968</v>
      </c>
      <c r="F203" s="0" t="n">
        <v>249984</v>
      </c>
      <c r="G203" s="0" t="n">
        <v>4.183</v>
      </c>
      <c r="H203" s="0" t="n">
        <v>0.0175</v>
      </c>
      <c r="I203" s="0" t="n">
        <v>263529</v>
      </c>
      <c r="J203" s="0" t="n">
        <v>13545</v>
      </c>
      <c r="K203" s="0" t="n">
        <v>0.0542</v>
      </c>
      <c r="L203" s="0" t="n">
        <v>0.05</v>
      </c>
      <c r="M203" s="0" t="n">
        <v>0.075</v>
      </c>
      <c r="N203" s="0" t="n">
        <v>0.025</v>
      </c>
      <c r="O203" s="0" t="inlineStr">
        <is>
          <t>—</t>
        </is>
      </c>
    </row>
    <row r="204">
      <c r="A204" s="0" t="inlineStr">
        <is>
          <t>20260617</t>
        </is>
      </c>
      <c r="B204" s="0" t="inlineStr">
        <is>
          <t>红利低波ETF</t>
        </is>
      </c>
      <c r="C204" s="0" t="inlineStr">
        <is>
          <t>512890</t>
        </is>
      </c>
      <c r="D204" s="0" t="n">
        <v>218000</v>
      </c>
      <c r="E204" s="0" t="n">
        <v>1.15</v>
      </c>
      <c r="F204" s="0" t="n">
        <v>250700</v>
      </c>
      <c r="G204" s="0" t="n">
        <v>1.14</v>
      </c>
      <c r="H204" s="0" t="n">
        <v>-0.0044</v>
      </c>
      <c r="I204" s="0" t="n">
        <v>248520</v>
      </c>
      <c r="J204" s="0" t="n">
        <v>-2180</v>
      </c>
      <c r="K204" s="0" t="n">
        <v>-0.008699999999999999</v>
      </c>
      <c r="L204" s="0" t="n">
        <v>0.05</v>
      </c>
      <c r="M204" s="0" t="n">
        <v>0.0707</v>
      </c>
      <c r="N204" s="0" t="n">
        <v>0.0207</v>
      </c>
      <c r="O204" s="0" t="inlineStr">
        <is>
          <t>—</t>
        </is>
      </c>
    </row>
    <row r="205">
      <c r="A205" s="0" t="inlineStr">
        <is>
          <t>20260617</t>
        </is>
      </c>
      <c r="B205" s="0" t="inlineStr">
        <is>
          <t>可转债ETF</t>
        </is>
      </c>
      <c r="C205" s="0" t="inlineStr">
        <is>
          <t>511380</t>
        </is>
      </c>
      <c r="D205" s="0" t="n">
        <v>14500</v>
      </c>
      <c r="E205" s="0" t="n">
        <v>13.8644</v>
      </c>
      <c r="F205" s="0" t="n">
        <v>201033.8</v>
      </c>
      <c r="G205" s="0" t="n">
        <v>14.158</v>
      </c>
      <c r="H205" s="0" t="n">
        <v>-0.0043</v>
      </c>
      <c r="I205" s="0" t="n">
        <v>205291</v>
      </c>
      <c r="J205" s="0" t="n">
        <v>4257.2</v>
      </c>
      <c r="K205" s="0" t="n">
        <v>0.0212</v>
      </c>
      <c r="L205" s="0" t="n">
        <v>0.1</v>
      </c>
      <c r="M205" s="0" t="n">
        <v>0.0584</v>
      </c>
      <c r="N205" s="0" t="n">
        <v>-0.0416</v>
      </c>
      <c r="O205" s="0" t="inlineStr">
        <is>
          <t>—</t>
        </is>
      </c>
    </row>
    <row r="206">
      <c r="A206" s="0" t="inlineStr">
        <is>
          <t>20260617</t>
        </is>
      </c>
      <c r="B206" s="0" t="inlineStr">
        <is>
          <t>10年国债ETF</t>
        </is>
      </c>
      <c r="C206" s="0" t="inlineStr">
        <is>
          <t>511260</t>
        </is>
      </c>
      <c r="D206" s="0" t="n">
        <v>3700</v>
      </c>
      <c r="E206" s="0" t="n">
        <v>135.645</v>
      </c>
      <c r="F206" s="0" t="n">
        <v>501886.5</v>
      </c>
      <c r="G206" s="0" t="n">
        <v>135.971</v>
      </c>
      <c r="H206" s="0" t="n">
        <v>0.001</v>
      </c>
      <c r="I206" s="0" t="n">
        <v>503092.7</v>
      </c>
      <c r="J206" s="0" t="n">
        <v>1206.2</v>
      </c>
      <c r="K206" s="0" t="n">
        <v>0.0024</v>
      </c>
      <c r="L206" s="0" t="n">
        <v>0.1</v>
      </c>
      <c r="M206" s="0" t="n">
        <v>0.1431</v>
      </c>
      <c r="N206" s="0" t="n">
        <v>0.0431</v>
      </c>
      <c r="O206" s="0" t="inlineStr">
        <is>
          <t>—</t>
        </is>
      </c>
    </row>
    <row r="207">
      <c r="A207" s="0" t="inlineStr">
        <is>
          <t>20260617</t>
        </is>
      </c>
      <c r="B207" s="0" t="inlineStr">
        <is>
          <t>5年国债ETF</t>
        </is>
      </c>
      <c r="C207" s="0" t="inlineStr">
        <is>
          <t>511010</t>
        </is>
      </c>
      <c r="D207" s="0" t="n">
        <v>3500</v>
      </c>
      <c r="E207" s="0" t="n">
        <v>141.2121</v>
      </c>
      <c r="F207" s="0" t="n">
        <v>494242.35</v>
      </c>
      <c r="G207" s="0" t="n">
        <v>141.348</v>
      </c>
      <c r="H207" s="0" t="n">
        <v>0.0003</v>
      </c>
      <c r="I207" s="0" t="n">
        <v>494718</v>
      </c>
      <c r="J207" s="0" t="n">
        <v>475.65</v>
      </c>
      <c r="K207" s="0" t="n">
        <v>0.001</v>
      </c>
      <c r="L207" s="0" t="n">
        <v>0.1</v>
      </c>
      <c r="M207" s="0" t="n">
        <v>0.1407</v>
      </c>
      <c r="N207" s="0" t="n">
        <v>0.0407</v>
      </c>
      <c r="O207" s="0" t="inlineStr">
        <is>
          <t>—</t>
        </is>
      </c>
    </row>
    <row r="208">
      <c r="A208" s="0" t="inlineStr">
        <is>
          <t>20260617</t>
        </is>
      </c>
      <c r="B208" s="0" t="inlineStr">
        <is>
          <t>短融ETF</t>
        </is>
      </c>
      <c r="C208" s="0" t="inlineStr">
        <is>
          <t>511360</t>
        </is>
      </c>
      <c r="D208" s="0" t="n">
        <v>2200</v>
      </c>
      <c r="E208" s="0" t="n">
        <v>113.462</v>
      </c>
      <c r="F208" s="0" t="n">
        <v>249616.4</v>
      </c>
      <c r="G208" s="0" t="n">
        <v>113.551</v>
      </c>
      <c r="I208" s="0" t="n">
        <v>249812.2</v>
      </c>
      <c r="J208" s="0" t="n">
        <v>195.8</v>
      </c>
      <c r="K208" s="0" t="n">
        <v>0.0008</v>
      </c>
      <c r="L208" s="0" t="n">
        <v>0.05</v>
      </c>
      <c r="M208" s="0" t="n">
        <v>0.0711</v>
      </c>
      <c r="N208" s="0" t="n">
        <v>0.0211</v>
      </c>
      <c r="O208" s="0" t="inlineStr">
        <is>
          <t>—</t>
        </is>
      </c>
    </row>
    <row r="209">
      <c r="A209" s="0" t="inlineStr">
        <is>
          <t>20260617</t>
        </is>
      </c>
      <c r="B209" s="0" t="inlineStr">
        <is>
          <t>黄金ETF</t>
        </is>
      </c>
      <c r="C209" s="0" t="inlineStr">
        <is>
          <t>518880</t>
        </is>
      </c>
      <c r="D209" s="0" t="n">
        <v>55800</v>
      </c>
      <c r="E209" s="0" t="n">
        <v>9.232699999999999</v>
      </c>
      <c r="F209" s="0" t="n">
        <v>515184.66</v>
      </c>
      <c r="G209" s="0" t="n">
        <v>8.957000000000001</v>
      </c>
      <c r="H209" s="0" t="n">
        <v>0.0009</v>
      </c>
      <c r="I209" s="0" t="n">
        <v>499800.6</v>
      </c>
      <c r="J209" s="0" t="n">
        <v>-15384.06</v>
      </c>
      <c r="K209" s="0" t="n">
        <v>-0.0299</v>
      </c>
      <c r="L209" s="0" t="n">
        <v>0.15</v>
      </c>
      <c r="M209" s="0" t="n">
        <v>0.1422</v>
      </c>
      <c r="N209" s="0" t="n">
        <v>-0.0078</v>
      </c>
      <c r="O209" s="0" t="inlineStr">
        <is>
          <t>—</t>
        </is>
      </c>
    </row>
    <row r="210">
      <c r="A210" s="0" t="inlineStr">
        <is>
          <t>20260617</t>
        </is>
      </c>
      <c r="B210" s="0" t="inlineStr">
        <is>
          <t>银华日利ETF</t>
        </is>
      </c>
      <c r="C210" s="0" t="inlineStr">
        <is>
          <t>511880</t>
        </is>
      </c>
      <c r="G210" s="0" t="n">
        <v>100.524</v>
      </c>
      <c r="I210" s="0" t="n">
        <v>0</v>
      </c>
      <c r="J210" s="0" t="n">
        <v>0</v>
      </c>
      <c r="K210" s="0" t="n">
        <v>0</v>
      </c>
      <c r="L210" s="0" t="n">
        <v>0.05</v>
      </c>
      <c r="M210" s="0" t="n">
        <v>0</v>
      </c>
      <c r="N210" s="0" t="n">
        <v>-0.05</v>
      </c>
      <c r="O210" s="0" t="inlineStr">
        <is>
          <t>—</t>
        </is>
      </c>
    </row>
    <row r="211">
      <c r="A211" s="0" t="inlineStr">
        <is>
          <t>20260617</t>
        </is>
      </c>
      <c r="B211" s="0" t="inlineStr">
        <is>
          <t>华宝添益ETF</t>
        </is>
      </c>
      <c r="C211" s="0" t="inlineStr">
        <is>
          <t>511990</t>
        </is>
      </c>
      <c r="G211" s="0" t="n">
        <v>99.996</v>
      </c>
      <c r="I211" s="0" t="n">
        <v>0</v>
      </c>
      <c r="J211" s="0" t="n">
        <v>0</v>
      </c>
      <c r="K211" s="0" t="n">
        <v>0</v>
      </c>
      <c r="L211" s="0" t="n">
        <v>0.05</v>
      </c>
      <c r="M211" s="0" t="n">
        <v>0</v>
      </c>
      <c r="N211" s="0" t="n">
        <v>-0.05</v>
      </c>
      <c r="O211" s="0" t="inlineStr">
        <is>
          <t>—</t>
        </is>
      </c>
    </row>
    <row r="212">
      <c r="A212" s="0" t="inlineStr">
        <is>
          <t>20260618</t>
        </is>
      </c>
      <c r="B212" s="0" t="inlineStr">
        <is>
          <t>沪深300ETF</t>
        </is>
      </c>
      <c r="C212" s="0" t="inlineStr">
        <is>
          <t>510300</t>
        </is>
      </c>
      <c r="D212" s="0" t="n">
        <v>153800</v>
      </c>
      <c r="E212" s="0" t="n">
        <v>4.885</v>
      </c>
      <c r="F212" s="0" t="n">
        <v>751313</v>
      </c>
      <c r="G212" s="0" t="n">
        <v>4.984</v>
      </c>
      <c r="H212" s="0" t="n">
        <v>0.0052</v>
      </c>
      <c r="I212" s="0" t="n">
        <v>766539.2</v>
      </c>
      <c r="J212" s="0" t="n">
        <v>15226.2</v>
      </c>
      <c r="K212" s="0" t="n">
        <v>0.0203</v>
      </c>
      <c r="L212" s="0" t="n">
        <v>0.15</v>
      </c>
      <c r="M212" s="0" t="n">
        <v>0.2177</v>
      </c>
      <c r="N212" s="0" t="n">
        <v>0.0677</v>
      </c>
      <c r="O212" s="0" t="inlineStr">
        <is>
          <t>📊权重预警偏离+6.8%</t>
        </is>
      </c>
    </row>
    <row r="213">
      <c r="A213" s="0" t="inlineStr">
        <is>
          <t>20260618</t>
        </is>
      </c>
      <c r="B213" s="0" t="inlineStr">
        <is>
          <t>中证500ETF</t>
        </is>
      </c>
      <c r="C213" s="0" t="inlineStr">
        <is>
          <t>510500</t>
        </is>
      </c>
      <c r="D213" s="0" t="n">
        <v>20000</v>
      </c>
      <c r="E213" s="0" t="n">
        <v>8.696</v>
      </c>
      <c r="F213" s="0" t="n">
        <v>173920</v>
      </c>
      <c r="G213" s="0" t="n">
        <v>8.827999999999999</v>
      </c>
      <c r="H213" s="0" t="n">
        <v>0.0074</v>
      </c>
      <c r="I213" s="0" t="n">
        <v>176560</v>
      </c>
      <c r="J213" s="0" t="n">
        <v>2640</v>
      </c>
      <c r="K213" s="0" t="n">
        <v>0.0152</v>
      </c>
      <c r="L213" s="0" t="n">
        <v>0.1</v>
      </c>
      <c r="M213" s="0" t="n">
        <v>0.0501</v>
      </c>
      <c r="N213" s="0" t="n">
        <v>-0.0499</v>
      </c>
      <c r="O213" s="0" t="inlineStr">
        <is>
          <t>📊权重预警偏离-5.0%</t>
        </is>
      </c>
    </row>
    <row r="214">
      <c r="A214" s="0" t="inlineStr">
        <is>
          <t>20260618</t>
        </is>
      </c>
      <c r="B214" s="0" t="inlineStr">
        <is>
          <t>科创50ETF</t>
        </is>
      </c>
      <c r="C214" s="0" t="inlineStr">
        <is>
          <t>588050</t>
        </is>
      </c>
      <c r="D214" s="0" t="n">
        <v>60000</v>
      </c>
      <c r="E214" s="0" t="n">
        <v>1.838</v>
      </c>
      <c r="F214" s="0" t="n">
        <v>110280</v>
      </c>
      <c r="G214" s="0" t="n">
        <v>1.958</v>
      </c>
      <c r="H214" s="0" t="n">
        <v>0.0398</v>
      </c>
      <c r="I214" s="0" t="n">
        <v>117480</v>
      </c>
      <c r="J214" s="0" t="n">
        <v>7200</v>
      </c>
      <c r="K214" s="0" t="n">
        <v>0.0653</v>
      </c>
      <c r="L214" s="0" t="n">
        <v>0.05</v>
      </c>
      <c r="M214" s="0" t="n">
        <v>0.0334</v>
      </c>
      <c r="N214" s="0" t="n">
        <v>-0.0166</v>
      </c>
      <c r="O214" s="0" t="inlineStr">
        <is>
          <t>—</t>
        </is>
      </c>
    </row>
    <row r="215">
      <c r="A215" s="0" t="inlineStr">
        <is>
          <t>20260618</t>
        </is>
      </c>
      <c r="B215" s="0" t="inlineStr">
        <is>
          <t>创业板ETF</t>
        </is>
      </c>
      <c r="C215" s="0" t="inlineStr">
        <is>
          <t>159915</t>
        </is>
      </c>
      <c r="D215" s="0" t="n">
        <v>63000</v>
      </c>
      <c r="E215" s="0" t="n">
        <v>3.968</v>
      </c>
      <c r="F215" s="0" t="n">
        <v>249984</v>
      </c>
      <c r="G215" s="0" t="n">
        <v>4.269</v>
      </c>
      <c r="H215" s="0" t="n">
        <v>0.0206</v>
      </c>
      <c r="I215" s="0" t="n">
        <v>268947</v>
      </c>
      <c r="J215" s="0" t="n">
        <v>18963</v>
      </c>
      <c r="K215" s="0" t="n">
        <v>0.0759</v>
      </c>
      <c r="L215" s="0" t="n">
        <v>0.05</v>
      </c>
      <c r="M215" s="0" t="n">
        <v>0.0764</v>
      </c>
      <c r="N215" s="0" t="n">
        <v>0.0264</v>
      </c>
      <c r="O215" s="0" t="inlineStr">
        <is>
          <t>🟢止盈第一档：浮盈7.6% &gt;= 7%，减仓20%</t>
        </is>
      </c>
    </row>
    <row r="216">
      <c r="A216" s="0" t="inlineStr">
        <is>
          <t>20260618</t>
        </is>
      </c>
      <c r="B216" s="0" t="inlineStr">
        <is>
          <t>红利低波ETF</t>
        </is>
      </c>
      <c r="C216" s="0" t="inlineStr">
        <is>
          <t>512890</t>
        </is>
      </c>
      <c r="D216" s="0" t="n">
        <v>218000</v>
      </c>
      <c r="E216" s="0" t="n">
        <v>1.15</v>
      </c>
      <c r="F216" s="0" t="n">
        <v>250700</v>
      </c>
      <c r="G216" s="0" t="n">
        <v>1.115</v>
      </c>
      <c r="H216" s="0" t="n">
        <v>-0.0219</v>
      </c>
      <c r="I216" s="0" t="n">
        <v>243070</v>
      </c>
      <c r="J216" s="0" t="n">
        <v>-7630</v>
      </c>
      <c r="K216" s="0" t="n">
        <v>-0.0304</v>
      </c>
      <c r="L216" s="0" t="n">
        <v>0.05</v>
      </c>
      <c r="M216" s="0" t="n">
        <v>0.06900000000000001</v>
      </c>
      <c r="N216" s="0" t="n">
        <v>0.019</v>
      </c>
      <c r="O216" s="0" t="inlineStr">
        <is>
          <t>—</t>
        </is>
      </c>
    </row>
    <row r="217">
      <c r="A217" s="0" t="inlineStr">
        <is>
          <t>20260618</t>
        </is>
      </c>
      <c r="B217" s="0" t="inlineStr">
        <is>
          <t>可转债ETF</t>
        </is>
      </c>
      <c r="C217" s="0" t="inlineStr">
        <is>
          <t>511380</t>
        </is>
      </c>
      <c r="D217" s="0" t="n">
        <v>14500</v>
      </c>
      <c r="E217" s="0" t="n">
        <v>13.8644</v>
      </c>
      <c r="F217" s="0" t="n">
        <v>201033.8</v>
      </c>
      <c r="G217" s="0" t="n">
        <v>14.067</v>
      </c>
      <c r="H217" s="0" t="n">
        <v>-0.0064</v>
      </c>
      <c r="I217" s="0" t="n">
        <v>203971.5</v>
      </c>
      <c r="J217" s="0" t="n">
        <v>2937.7</v>
      </c>
      <c r="K217" s="0" t="n">
        <v>0.0146</v>
      </c>
      <c r="L217" s="0" t="n">
        <v>0.1</v>
      </c>
      <c r="M217" s="0" t="n">
        <v>0.0579</v>
      </c>
      <c r="N217" s="0" t="n">
        <v>-0.0421</v>
      </c>
      <c r="O217" s="0" t="inlineStr">
        <is>
          <t>📊权重预警偏离-4.2%</t>
        </is>
      </c>
    </row>
    <row r="218">
      <c r="A218" s="0" t="inlineStr">
        <is>
          <t>20260618</t>
        </is>
      </c>
      <c r="B218" s="0" t="inlineStr">
        <is>
          <t>10年国债ETF</t>
        </is>
      </c>
      <c r="C218" s="0" t="inlineStr">
        <is>
          <t>511260</t>
        </is>
      </c>
      <c r="D218" s="0" t="n">
        <v>3700</v>
      </c>
      <c r="E218" s="0" t="n">
        <v>135.645</v>
      </c>
      <c r="F218" s="0" t="n">
        <v>501886.5</v>
      </c>
      <c r="G218" s="0" t="n">
        <v>135.984</v>
      </c>
      <c r="H218" s="0" t="n">
        <v>0.0001</v>
      </c>
      <c r="I218" s="0" t="n">
        <v>503140.8</v>
      </c>
      <c r="J218" s="0" t="n">
        <v>1254.3</v>
      </c>
      <c r="K218" s="0" t="n">
        <v>0.0025</v>
      </c>
      <c r="L218" s="0" t="n">
        <v>0.1</v>
      </c>
      <c r="M218" s="0" t="n">
        <v>0.1429</v>
      </c>
      <c r="N218" s="0" t="n">
        <v>0.0429</v>
      </c>
      <c r="O218" s="0" t="inlineStr">
        <is>
          <t>📊权重预警偏离+4.3%</t>
        </is>
      </c>
    </row>
    <row r="219">
      <c r="A219" s="0" t="inlineStr">
        <is>
          <t>20260618</t>
        </is>
      </c>
      <c r="B219" s="0" t="inlineStr">
        <is>
          <t>5年国债ETF</t>
        </is>
      </c>
      <c r="C219" s="0" t="inlineStr">
        <is>
          <t>511010</t>
        </is>
      </c>
      <c r="D219" s="0" t="n">
        <v>3500</v>
      </c>
      <c r="E219" s="0" t="n">
        <v>141.2121</v>
      </c>
      <c r="F219" s="0" t="n">
        <v>494242.35</v>
      </c>
      <c r="G219" s="0" t="n">
        <v>141.431</v>
      </c>
      <c r="H219" s="0" t="n">
        <v>0.0005999999999999999</v>
      </c>
      <c r="I219" s="0" t="n">
        <v>495008.5</v>
      </c>
      <c r="J219" s="0" t="n">
        <v>766.15</v>
      </c>
      <c r="K219" s="0" t="n">
        <v>0.0016</v>
      </c>
      <c r="L219" s="0" t="n">
        <v>0.1</v>
      </c>
      <c r="M219" s="0" t="n">
        <v>0.1406</v>
      </c>
      <c r="N219" s="0" t="n">
        <v>0.0406</v>
      </c>
      <c r="O219" s="0" t="inlineStr">
        <is>
          <t>📊权重预警偏离+4.1%</t>
        </is>
      </c>
    </row>
    <row r="220">
      <c r="A220" s="0" t="inlineStr">
        <is>
          <t>20260618</t>
        </is>
      </c>
      <c r="B220" s="0" t="inlineStr">
        <is>
          <t>短融ETF</t>
        </is>
      </c>
      <c r="C220" s="0" t="inlineStr">
        <is>
          <t>511360</t>
        </is>
      </c>
      <c r="D220" s="0" t="n">
        <v>2200</v>
      </c>
      <c r="E220" s="0" t="n">
        <v>113.462</v>
      </c>
      <c r="F220" s="0" t="n">
        <v>249616.4</v>
      </c>
      <c r="G220" s="0" t="n">
        <v>113.557</v>
      </c>
      <c r="H220" s="0" t="n">
        <v>0.0001</v>
      </c>
      <c r="I220" s="0" t="n">
        <v>249825.4</v>
      </c>
      <c r="J220" s="0" t="n">
        <v>209</v>
      </c>
      <c r="K220" s="0" t="n">
        <v>0.0008</v>
      </c>
      <c r="L220" s="0" t="n">
        <v>0.05</v>
      </c>
      <c r="M220" s="0" t="n">
        <v>0.0709</v>
      </c>
      <c r="N220" s="0" t="n">
        <v>0.0209</v>
      </c>
      <c r="O220" s="0" t="inlineStr">
        <is>
          <t>—</t>
        </is>
      </c>
    </row>
    <row r="221">
      <c r="A221" s="0" t="inlineStr">
        <is>
          <t>20260618</t>
        </is>
      </c>
      <c r="B221" s="0" t="inlineStr">
        <is>
          <t>黄金ETF</t>
        </is>
      </c>
      <c r="C221" s="0" t="inlineStr">
        <is>
          <t>518880</t>
        </is>
      </c>
      <c r="D221" s="0" t="n">
        <v>55800</v>
      </c>
      <c r="E221" s="0" t="n">
        <v>9.232699999999999</v>
      </c>
      <c r="F221" s="0" t="n">
        <v>515184.66</v>
      </c>
      <c r="G221" s="0" t="n">
        <v>8.907999999999999</v>
      </c>
      <c r="H221" s="0" t="n">
        <v>-0.0055</v>
      </c>
      <c r="I221" s="0" t="n">
        <v>497066.4</v>
      </c>
      <c r="J221" s="0" t="n">
        <v>-18118.26</v>
      </c>
      <c r="K221" s="0" t="n">
        <v>-0.0352</v>
      </c>
      <c r="L221" s="0" t="n">
        <v>0.15</v>
      </c>
      <c r="M221" s="0" t="n">
        <v>0.1411</v>
      </c>
      <c r="N221" s="0" t="n">
        <v>-0.0089</v>
      </c>
      <c r="O221" s="0" t="inlineStr">
        <is>
          <t>—</t>
        </is>
      </c>
    </row>
    <row r="222">
      <c r="A222" s="0" t="inlineStr">
        <is>
          <t>20260618</t>
        </is>
      </c>
      <c r="B222" s="0" t="inlineStr">
        <is>
          <t>银华日利ETF</t>
        </is>
      </c>
      <c r="C222" s="0" t="inlineStr">
        <is>
          <t>511880</t>
        </is>
      </c>
      <c r="G222" s="0" t="n">
        <v>100.533</v>
      </c>
      <c r="H222" s="0" t="n">
        <v>0.0001</v>
      </c>
      <c r="I222" s="0" t="n">
        <v>0</v>
      </c>
      <c r="J222" s="0" t="n">
        <v>0</v>
      </c>
      <c r="K222" s="0" t="n">
        <v>0</v>
      </c>
      <c r="L222" s="0" t="n">
        <v>0.05</v>
      </c>
      <c r="M222" s="0" t="n">
        <v>0</v>
      </c>
      <c r="N222" s="0" t="n">
        <v>-0.05</v>
      </c>
      <c r="O222" s="0" t="inlineStr">
        <is>
          <t>📊权重预警偏离-5.0%</t>
        </is>
      </c>
    </row>
    <row r="223">
      <c r="A223" s="0" t="inlineStr">
        <is>
          <t>20260618</t>
        </is>
      </c>
      <c r="B223" s="0" t="inlineStr">
        <is>
          <t>华宝添益ETF</t>
        </is>
      </c>
      <c r="C223" s="0" t="inlineStr">
        <is>
          <t>511990</t>
        </is>
      </c>
      <c r="G223" s="0" t="n">
        <v>100</v>
      </c>
      <c r="I223" s="0" t="n">
        <v>0</v>
      </c>
      <c r="J223" s="0" t="n">
        <v>0</v>
      </c>
      <c r="K223" s="0" t="n">
        <v>0</v>
      </c>
      <c r="L223" s="0" t="n">
        <v>0.05</v>
      </c>
      <c r="M223" s="0" t="n">
        <v>0</v>
      </c>
      <c r="N223" s="0" t="n">
        <v>-0.05</v>
      </c>
      <c r="O223" s="0" t="inlineStr">
        <is>
          <t>📊权重预警偏离-5.0%</t>
        </is>
      </c>
    </row>
    <row r="224">
      <c r="A224" s="0" t="inlineStr">
        <is>
          <t>20260605</t>
        </is>
      </c>
      <c r="B224" s="0" t="inlineStr">
        <is>
          <t>沪深300ETF</t>
        </is>
      </c>
      <c r="C224" s="0" t="inlineStr">
        <is>
          <t>510300</t>
        </is>
      </c>
      <c r="D224" s="0" t="n">
        <v>153800</v>
      </c>
      <c r="E224" s="0" t="n">
        <v>4.885</v>
      </c>
      <c r="F224" s="0" t="n">
        <v>751313</v>
      </c>
      <c r="G224" s="0" t="n">
        <v>4.843</v>
      </c>
      <c r="H224" s="0" t="n">
        <v>-0.0169</v>
      </c>
      <c r="I224" s="0" t="n">
        <v>744853.4</v>
      </c>
      <c r="J224" s="0" t="n">
        <v>-6459.6</v>
      </c>
      <c r="K224" s="0" t="n">
        <v>-0.0086</v>
      </c>
      <c r="L224" s="0" t="n">
        <v>0.15</v>
      </c>
      <c r="M224" s="0" t="n">
        <v>0.2137</v>
      </c>
      <c r="N224" s="0" t="n">
        <v>0.06370000000000001</v>
      </c>
      <c r="O224" s="0" t="inlineStr">
        <is>
          <t>—</t>
        </is>
      </c>
    </row>
    <row r="225">
      <c r="A225" s="0" t="inlineStr">
        <is>
          <t>20260605</t>
        </is>
      </c>
      <c r="B225" s="0" t="inlineStr">
        <is>
          <t>中证500ETF</t>
        </is>
      </c>
      <c r="C225" s="0" t="inlineStr">
        <is>
          <t>510500</t>
        </is>
      </c>
      <c r="D225" s="0" t="n">
        <v>20000</v>
      </c>
      <c r="E225" s="0" t="n">
        <v>8.696</v>
      </c>
      <c r="F225" s="0" t="n">
        <v>173920</v>
      </c>
      <c r="G225" s="0" t="n">
        <v>8.339</v>
      </c>
      <c r="H225" s="0" t="n">
        <v>-0.0129</v>
      </c>
      <c r="I225" s="0" t="n">
        <v>166780</v>
      </c>
      <c r="J225" s="0" t="n">
        <v>-7140</v>
      </c>
      <c r="K225" s="0" t="n">
        <v>-0.0411</v>
      </c>
      <c r="L225" s="0" t="n">
        <v>0.1</v>
      </c>
      <c r="M225" s="0" t="n">
        <v>0.0479</v>
      </c>
      <c r="N225" s="0" t="n">
        <v>-0.0521</v>
      </c>
      <c r="O225" s="0" t="inlineStr">
        <is>
          <t>—</t>
        </is>
      </c>
    </row>
    <row r="226">
      <c r="A226" s="0" t="inlineStr">
        <is>
          <t>20260605</t>
        </is>
      </c>
      <c r="B226" s="0" t="inlineStr">
        <is>
          <t>科创50ETF</t>
        </is>
      </c>
      <c r="C226" s="0" t="inlineStr">
        <is>
          <t>588050</t>
        </is>
      </c>
      <c r="D226" s="0" t="n">
        <v>60000</v>
      </c>
      <c r="E226" s="0" t="n">
        <v>1.838</v>
      </c>
      <c r="F226" s="0" t="n">
        <v>110280</v>
      </c>
      <c r="G226" s="0" t="n">
        <v>1.714</v>
      </c>
      <c r="H226" s="0" t="n">
        <v>-0.0387</v>
      </c>
      <c r="I226" s="0" t="n">
        <v>102840</v>
      </c>
      <c r="J226" s="0" t="n">
        <v>-7440</v>
      </c>
      <c r="K226" s="0" t="n">
        <v>-0.0675</v>
      </c>
      <c r="L226" s="0" t="n">
        <v>0.05</v>
      </c>
      <c r="M226" s="0" t="n">
        <v>0.0295</v>
      </c>
      <c r="N226" s="0" t="n">
        <v>-0.0205</v>
      </c>
      <c r="O226" s="0" t="inlineStr">
        <is>
          <t>—</t>
        </is>
      </c>
    </row>
    <row r="227">
      <c r="A227" s="0" t="inlineStr">
        <is>
          <t>20260605</t>
        </is>
      </c>
      <c r="B227" s="0" t="inlineStr">
        <is>
          <t>创业板ETF</t>
        </is>
      </c>
      <c r="C227" s="0" t="inlineStr">
        <is>
          <t>159915</t>
        </is>
      </c>
      <c r="D227" s="0" t="n">
        <v>63000</v>
      </c>
      <c r="E227" s="0" t="n">
        <v>3.968</v>
      </c>
      <c r="F227" s="0" t="n">
        <v>249984</v>
      </c>
      <c r="G227" s="0" t="n">
        <v>3.977</v>
      </c>
      <c r="H227" s="0" t="n">
        <v>-0.03</v>
      </c>
      <c r="I227" s="0" t="n">
        <v>250551</v>
      </c>
      <c r="J227" s="0" t="n">
        <v>567</v>
      </c>
      <c r="K227" s="0" t="n">
        <v>0.0023</v>
      </c>
      <c r="L227" s="0" t="n">
        <v>0.05</v>
      </c>
      <c r="M227" s="0" t="n">
        <v>0.07190000000000001</v>
      </c>
      <c r="N227" s="0" t="n">
        <v>0.0219</v>
      </c>
      <c r="O227" s="0" t="inlineStr">
        <is>
          <t>—</t>
        </is>
      </c>
    </row>
    <row r="228">
      <c r="A228" s="0" t="inlineStr">
        <is>
          <t>20260605</t>
        </is>
      </c>
      <c r="B228" s="0" t="inlineStr">
        <is>
          <t>红利低波ETF</t>
        </is>
      </c>
      <c r="C228" s="0" t="inlineStr">
        <is>
          <t>512890</t>
        </is>
      </c>
      <c r="D228" s="0" t="n">
        <v>218000</v>
      </c>
      <c r="E228" s="0" t="n">
        <v>1.15</v>
      </c>
      <c r="F228" s="0" t="n">
        <v>250700</v>
      </c>
      <c r="G228" s="0" t="n">
        <v>1.159</v>
      </c>
      <c r="H228" s="0" t="n">
        <v>0.0009</v>
      </c>
      <c r="I228" s="0" t="n">
        <v>252662</v>
      </c>
      <c r="J228" s="0" t="n">
        <v>1962</v>
      </c>
      <c r="K228" s="0" t="n">
        <v>0.0078</v>
      </c>
      <c r="L228" s="0" t="n">
        <v>0.05</v>
      </c>
      <c r="M228" s="0" t="n">
        <v>0.0725</v>
      </c>
      <c r="N228" s="0" t="n">
        <v>0.0225</v>
      </c>
      <c r="O228" s="0" t="inlineStr">
        <is>
          <t>—</t>
        </is>
      </c>
    </row>
    <row r="229">
      <c r="A229" s="0" t="inlineStr">
        <is>
          <t>20260605</t>
        </is>
      </c>
      <c r="B229" s="0" t="inlineStr">
        <is>
          <t>可转债ETF</t>
        </is>
      </c>
      <c r="C229" s="0" t="inlineStr">
        <is>
          <t>511380</t>
        </is>
      </c>
      <c r="D229" s="0" t="n">
        <v>14500</v>
      </c>
      <c r="E229" s="0" t="n">
        <v>13.8644</v>
      </c>
      <c r="F229" s="0" t="n">
        <v>201033.8</v>
      </c>
      <c r="G229" s="0" t="n">
        <v>13.948</v>
      </c>
      <c r="H229" s="0" t="n">
        <v>-0.0036</v>
      </c>
      <c r="I229" s="0" t="n">
        <v>202246</v>
      </c>
      <c r="J229" s="0" t="n">
        <v>1212.2</v>
      </c>
      <c r="K229" s="0" t="n">
        <v>0.006</v>
      </c>
      <c r="L229" s="0" t="n">
        <v>0.1</v>
      </c>
      <c r="M229" s="0" t="n">
        <v>0.058</v>
      </c>
      <c r="N229" s="0" t="n">
        <v>-0.042</v>
      </c>
      <c r="O229" s="0" t="inlineStr">
        <is>
          <t>—</t>
        </is>
      </c>
    </row>
    <row r="230">
      <c r="A230" s="0" t="inlineStr">
        <is>
          <t>20260605</t>
        </is>
      </c>
      <c r="B230" s="0" t="inlineStr">
        <is>
          <t>10年国债ETF</t>
        </is>
      </c>
      <c r="C230" s="0" t="inlineStr">
        <is>
          <t>511260</t>
        </is>
      </c>
      <c r="D230" s="0" t="n">
        <v>3700</v>
      </c>
      <c r="E230" s="0" t="n">
        <v>135.645</v>
      </c>
      <c r="F230" s="0" t="n">
        <v>501886.5</v>
      </c>
      <c r="G230" s="0" t="n">
        <v>136.071</v>
      </c>
      <c r="H230" s="0" t="n">
        <v>-0.0005</v>
      </c>
      <c r="I230" s="0" t="n">
        <v>503462.7</v>
      </c>
      <c r="J230" s="0" t="n">
        <v>1576.2</v>
      </c>
      <c r="K230" s="0" t="n">
        <v>0.0031</v>
      </c>
      <c r="L230" s="0" t="n">
        <v>0.1</v>
      </c>
      <c r="M230" s="0" t="n">
        <v>0.1445</v>
      </c>
      <c r="N230" s="0" t="n">
        <v>0.0445</v>
      </c>
      <c r="O230" s="0" t="inlineStr">
        <is>
          <t>—</t>
        </is>
      </c>
    </row>
    <row r="231">
      <c r="A231" s="0" t="inlineStr">
        <is>
          <t>20260605</t>
        </is>
      </c>
      <c r="B231" s="0" t="inlineStr">
        <is>
          <t>5年国债ETF</t>
        </is>
      </c>
      <c r="C231" s="0" t="inlineStr">
        <is>
          <t>511010</t>
        </is>
      </c>
      <c r="D231" s="0" t="n">
        <v>3500</v>
      </c>
      <c r="E231" s="0" t="n">
        <v>141.2121</v>
      </c>
      <c r="F231" s="0" t="n">
        <v>494242.35</v>
      </c>
      <c r="G231" s="0" t="n">
        <v>141.5</v>
      </c>
      <c r="I231" s="0" t="n">
        <v>495250</v>
      </c>
      <c r="J231" s="0" t="n">
        <v>1007.65</v>
      </c>
      <c r="K231" s="0" t="n">
        <v>0.002</v>
      </c>
      <c r="L231" s="0" t="n">
        <v>0.1</v>
      </c>
      <c r="M231" s="0" t="n">
        <v>0.1421</v>
      </c>
      <c r="N231" s="0" t="n">
        <v>0.0421</v>
      </c>
      <c r="O231" s="0" t="inlineStr">
        <is>
          <t>—</t>
        </is>
      </c>
    </row>
    <row r="232">
      <c r="A232" s="0" t="inlineStr">
        <is>
          <t>20260605</t>
        </is>
      </c>
      <c r="B232" s="0" t="inlineStr">
        <is>
          <t>短融ETF</t>
        </is>
      </c>
      <c r="C232" s="0" t="inlineStr">
        <is>
          <t>511360</t>
        </is>
      </c>
      <c r="D232" s="0" t="n">
        <v>2200</v>
      </c>
      <c r="E232" s="0" t="n">
        <v>113.462</v>
      </c>
      <c r="F232" s="0" t="n">
        <v>249616.4</v>
      </c>
      <c r="G232" s="0" t="n">
        <v>113.551</v>
      </c>
      <c r="H232" s="0" t="n">
        <v>0.0001</v>
      </c>
      <c r="I232" s="0" t="n">
        <v>249812.2</v>
      </c>
      <c r="J232" s="0" t="n">
        <v>195.8</v>
      </c>
      <c r="K232" s="0" t="n">
        <v>0.0008</v>
      </c>
      <c r="L232" s="0" t="n">
        <v>0.05</v>
      </c>
      <c r="M232" s="0" t="n">
        <v>0.0717</v>
      </c>
      <c r="N232" s="0" t="n">
        <v>0.0217</v>
      </c>
      <c r="O232" s="0" t="inlineStr">
        <is>
          <t>—</t>
        </is>
      </c>
    </row>
    <row r="233">
      <c r="A233" s="0" t="inlineStr">
        <is>
          <t>20260605</t>
        </is>
      </c>
      <c r="B233" s="0" t="inlineStr">
        <is>
          <t>黄金ETF</t>
        </is>
      </c>
      <c r="C233" s="0" t="inlineStr">
        <is>
          <t>518880</t>
        </is>
      </c>
      <c r="D233" s="0" t="n">
        <v>55800</v>
      </c>
      <c r="E233" s="0" t="n">
        <v>9.232699999999999</v>
      </c>
      <c r="F233" s="0" t="n">
        <v>515184.66</v>
      </c>
      <c r="G233" s="0" t="n">
        <v>9.252000000000001</v>
      </c>
      <c r="H233" s="0" t="n">
        <v>-0.0041</v>
      </c>
      <c r="I233" s="0" t="n">
        <v>516261.6</v>
      </c>
      <c r="J233" s="0" t="n">
        <v>1076.94</v>
      </c>
      <c r="K233" s="0" t="n">
        <v>0.0021</v>
      </c>
      <c r="L233" s="0" t="n">
        <v>0.15</v>
      </c>
      <c r="M233" s="0" t="n">
        <v>0.1482</v>
      </c>
      <c r="N233" s="0" t="n">
        <v>-0.0018</v>
      </c>
      <c r="O233" s="0" t="inlineStr">
        <is>
          <t>—</t>
        </is>
      </c>
    </row>
    <row r="234">
      <c r="A234" s="0" t="inlineStr">
        <is>
          <t>20260605</t>
        </is>
      </c>
      <c r="B234" s="0" t="inlineStr">
        <is>
          <t>银华日利ETF</t>
        </is>
      </c>
      <c r="C234" s="0" t="inlineStr">
        <is>
          <t>511880</t>
        </is>
      </c>
      <c r="G234" s="0" t="n">
        <v>100.523</v>
      </c>
      <c r="H234" s="0" t="n">
        <v>0.0001</v>
      </c>
      <c r="I234" s="0" t="n">
        <v>0</v>
      </c>
      <c r="J234" s="0" t="n">
        <v>0</v>
      </c>
      <c r="K234" s="0" t="n">
        <v>0</v>
      </c>
      <c r="L234" s="0" t="n">
        <v>0.05</v>
      </c>
      <c r="M234" s="0" t="n">
        <v>0</v>
      </c>
      <c r="N234" s="0" t="n">
        <v>-0.05</v>
      </c>
      <c r="O234" s="0" t="inlineStr">
        <is>
          <t>—</t>
        </is>
      </c>
    </row>
    <row r="235">
      <c r="A235" s="0" t="inlineStr">
        <is>
          <t>20260605</t>
        </is>
      </c>
      <c r="B235" s="0" t="inlineStr">
        <is>
          <t>华宝添益ETF</t>
        </is>
      </c>
      <c r="C235" s="0" t="inlineStr">
        <is>
          <t>511990</t>
        </is>
      </c>
      <c r="G235" s="0" t="n">
        <v>100.007</v>
      </c>
      <c r="H235" s="0" t="n">
        <v>0.0001</v>
      </c>
      <c r="I235" s="0" t="n">
        <v>0</v>
      </c>
      <c r="J235" s="0" t="n">
        <v>0</v>
      </c>
      <c r="K235" s="0" t="n">
        <v>0</v>
      </c>
      <c r="L235" s="0" t="n">
        <v>0.05</v>
      </c>
      <c r="M235" s="0" t="n">
        <v>0</v>
      </c>
      <c r="N235" s="0" t="n">
        <v>-0.05</v>
      </c>
      <c r="O235" s="0" t="inlineStr">
        <is>
          <t>—</t>
        </is>
      </c>
    </row>
    <row r="236">
      <c r="A236" s="0" t="inlineStr">
        <is>
          <t>20260608</t>
        </is>
      </c>
      <c r="B236" s="0" t="inlineStr">
        <is>
          <t>沪深300ETF</t>
        </is>
      </c>
      <c r="C236" s="0" t="inlineStr">
        <is>
          <t>510300</t>
        </is>
      </c>
      <c r="D236" s="0" t="n">
        <v>153800</v>
      </c>
      <c r="E236" s="0" t="n">
        <v>4.885</v>
      </c>
      <c r="F236" s="0" t="n">
        <v>751313</v>
      </c>
      <c r="G236" s="0" t="n">
        <v>4.739</v>
      </c>
      <c r="H236" s="0" t="n">
        <v>-0.0215</v>
      </c>
      <c r="I236" s="0" t="n">
        <v>728858.2</v>
      </c>
      <c r="J236" s="0" t="n">
        <v>-22454.8</v>
      </c>
      <c r="K236" s="0" t="n">
        <v>-0.0299</v>
      </c>
      <c r="L236" s="0" t="n">
        <v>0.15</v>
      </c>
      <c r="M236" s="0" t="n">
        <v>0.2124</v>
      </c>
      <c r="N236" s="0" t="n">
        <v>0.0624</v>
      </c>
      <c r="O236" s="0" t="inlineStr">
        <is>
          <t>—</t>
        </is>
      </c>
    </row>
    <row r="237">
      <c r="A237" s="0" t="inlineStr">
        <is>
          <t>20260608</t>
        </is>
      </c>
      <c r="B237" s="0" t="inlineStr">
        <is>
          <t>中证500ETF</t>
        </is>
      </c>
      <c r="C237" s="0" t="inlineStr">
        <is>
          <t>510500</t>
        </is>
      </c>
      <c r="D237" s="0" t="n">
        <v>20000</v>
      </c>
      <c r="E237" s="0" t="n">
        <v>8.696</v>
      </c>
      <c r="F237" s="0" t="n">
        <v>173920</v>
      </c>
      <c r="G237" s="0" t="n">
        <v>8.068</v>
      </c>
      <c r="H237" s="0" t="n">
        <v>-0.0325</v>
      </c>
      <c r="I237" s="0" t="n">
        <v>161360</v>
      </c>
      <c r="J237" s="0" t="n">
        <v>-12560</v>
      </c>
      <c r="K237" s="0" t="n">
        <v>-0.0722</v>
      </c>
      <c r="L237" s="0" t="n">
        <v>0.1</v>
      </c>
      <c r="M237" s="0" t="n">
        <v>0.047</v>
      </c>
      <c r="N237" s="0" t="n">
        <v>-0.053</v>
      </c>
      <c r="O237" s="0" t="inlineStr">
        <is>
          <t>—</t>
        </is>
      </c>
    </row>
    <row r="238">
      <c r="A238" s="0" t="inlineStr">
        <is>
          <t>20260608</t>
        </is>
      </c>
      <c r="B238" s="0" t="inlineStr">
        <is>
          <t>科创50ETF</t>
        </is>
      </c>
      <c r="C238" s="0" t="inlineStr">
        <is>
          <t>588050</t>
        </is>
      </c>
      <c r="D238" s="0" t="n">
        <v>60000</v>
      </c>
      <c r="E238" s="0" t="n">
        <v>1.838</v>
      </c>
      <c r="F238" s="0" t="n">
        <v>110280</v>
      </c>
      <c r="G238" s="0" t="n">
        <v>1.641</v>
      </c>
      <c r="H238" s="0" t="n">
        <v>-0.0426</v>
      </c>
      <c r="I238" s="0" t="n">
        <v>98460</v>
      </c>
      <c r="J238" s="0" t="n">
        <v>-11820</v>
      </c>
      <c r="K238" s="0" t="n">
        <v>-0.1072</v>
      </c>
      <c r="L238" s="0" t="n">
        <v>0.05</v>
      </c>
      <c r="M238" s="0" t="n">
        <v>0.0287</v>
      </c>
      <c r="N238" s="0" t="n">
        <v>-0.0213</v>
      </c>
      <c r="O238" s="0" t="inlineStr">
        <is>
          <t>—</t>
        </is>
      </c>
    </row>
    <row r="239">
      <c r="A239" s="0" t="inlineStr">
        <is>
          <t>20260608</t>
        </is>
      </c>
      <c r="B239" s="0" t="inlineStr">
        <is>
          <t>创业板ETF</t>
        </is>
      </c>
      <c r="C239" s="0" t="inlineStr">
        <is>
          <t>159915</t>
        </is>
      </c>
      <c r="D239" s="0" t="n">
        <v>63000</v>
      </c>
      <c r="E239" s="0" t="n">
        <v>3.968</v>
      </c>
      <c r="F239" s="0" t="n">
        <v>249984</v>
      </c>
      <c r="G239" s="0" t="n">
        <v>3.827</v>
      </c>
      <c r="H239" s="0" t="n">
        <v>-0.0377</v>
      </c>
      <c r="I239" s="0" t="n">
        <v>241101</v>
      </c>
      <c r="J239" s="0" t="n">
        <v>-8883</v>
      </c>
      <c r="K239" s="0" t="n">
        <v>-0.0355</v>
      </c>
      <c r="L239" s="0" t="n">
        <v>0.05</v>
      </c>
      <c r="M239" s="0" t="n">
        <v>0.0703</v>
      </c>
      <c r="N239" s="0" t="n">
        <v>0.0203</v>
      </c>
      <c r="O239" s="0" t="inlineStr">
        <is>
          <t>—</t>
        </is>
      </c>
    </row>
    <row r="240">
      <c r="A240" s="0" t="inlineStr">
        <is>
          <t>20260608</t>
        </is>
      </c>
      <c r="B240" s="0" t="inlineStr">
        <is>
          <t>红利低波ETF</t>
        </is>
      </c>
      <c r="C240" s="0" t="inlineStr">
        <is>
          <t>512890</t>
        </is>
      </c>
      <c r="D240" s="0" t="n">
        <v>218000</v>
      </c>
      <c r="E240" s="0" t="n">
        <v>1.15</v>
      </c>
      <c r="F240" s="0" t="n">
        <v>250700</v>
      </c>
      <c r="G240" s="0" t="n">
        <v>1.165</v>
      </c>
      <c r="H240" s="0" t="n">
        <v>0.0052</v>
      </c>
      <c r="I240" s="0" t="n">
        <v>253970</v>
      </c>
      <c r="J240" s="0" t="n">
        <v>3270</v>
      </c>
      <c r="K240" s="0" t="n">
        <v>0.013</v>
      </c>
      <c r="L240" s="0" t="n">
        <v>0.05</v>
      </c>
      <c r="M240" s="0" t="n">
        <v>0.074</v>
      </c>
      <c r="N240" s="0" t="n">
        <v>0.024</v>
      </c>
      <c r="O240" s="0" t="inlineStr">
        <is>
          <t>—</t>
        </is>
      </c>
    </row>
    <row r="241">
      <c r="A241" s="0" t="inlineStr">
        <is>
          <t>20260608</t>
        </is>
      </c>
      <c r="B241" s="0" t="inlineStr">
        <is>
          <t>可转债ETF</t>
        </is>
      </c>
      <c r="C241" s="0" t="inlineStr">
        <is>
          <t>511380</t>
        </is>
      </c>
      <c r="D241" s="0" t="n">
        <v>14500</v>
      </c>
      <c r="E241" s="0" t="n">
        <v>13.8644</v>
      </c>
      <c r="F241" s="0" t="n">
        <v>201033.8</v>
      </c>
      <c r="G241" s="0" t="n">
        <v>13.824</v>
      </c>
      <c r="H241" s="0" t="n">
        <v>-0.0089</v>
      </c>
      <c r="I241" s="0" t="n">
        <v>200448</v>
      </c>
      <c r="J241" s="0" t="n">
        <v>-585.8</v>
      </c>
      <c r="K241" s="0" t="n">
        <v>-0.0029</v>
      </c>
      <c r="L241" s="0" t="n">
        <v>0.1</v>
      </c>
      <c r="M241" s="0" t="n">
        <v>0.0584</v>
      </c>
      <c r="N241" s="0" t="n">
        <v>-0.0416</v>
      </c>
      <c r="O241" s="0" t="inlineStr">
        <is>
          <t>—</t>
        </is>
      </c>
    </row>
    <row r="242">
      <c r="A242" s="0" t="inlineStr">
        <is>
          <t>20260608</t>
        </is>
      </c>
      <c r="B242" s="0" t="inlineStr">
        <is>
          <t>10年国债ETF</t>
        </is>
      </c>
      <c r="C242" s="0" t="inlineStr">
        <is>
          <t>511260</t>
        </is>
      </c>
      <c r="D242" s="0" t="n">
        <v>3700</v>
      </c>
      <c r="E242" s="0" t="n">
        <v>135.645</v>
      </c>
      <c r="F242" s="0" t="n">
        <v>501886.5</v>
      </c>
      <c r="G242" s="0" t="n">
        <v>135.899</v>
      </c>
      <c r="H242" s="0" t="n">
        <v>-0.0013</v>
      </c>
      <c r="I242" s="0" t="n">
        <v>502826.3</v>
      </c>
      <c r="J242" s="0" t="n">
        <v>939.8</v>
      </c>
      <c r="K242" s="0" t="n">
        <v>0.0019</v>
      </c>
      <c r="L242" s="0" t="n">
        <v>0.1</v>
      </c>
      <c r="M242" s="0" t="n">
        <v>0.1465</v>
      </c>
      <c r="N242" s="0" t="n">
        <v>0.0465</v>
      </c>
      <c r="O242" s="0" t="inlineStr">
        <is>
          <t>—</t>
        </is>
      </c>
    </row>
    <row r="243">
      <c r="A243" s="0" t="inlineStr">
        <is>
          <t>20260608</t>
        </is>
      </c>
      <c r="B243" s="0" t="inlineStr">
        <is>
          <t>5年国债ETF</t>
        </is>
      </c>
      <c r="C243" s="0" t="inlineStr">
        <is>
          <t>511010</t>
        </is>
      </c>
      <c r="D243" s="0" t="n">
        <v>3500</v>
      </c>
      <c r="E243" s="0" t="n">
        <v>141.2121</v>
      </c>
      <c r="F243" s="0" t="n">
        <v>494242.35</v>
      </c>
      <c r="G243" s="0" t="n">
        <v>141.409</v>
      </c>
      <c r="H243" s="0" t="n">
        <v>-0.0005999999999999999</v>
      </c>
      <c r="I243" s="0" t="n">
        <v>494931.5</v>
      </c>
      <c r="J243" s="0" t="n">
        <v>689.15</v>
      </c>
      <c r="K243" s="0" t="n">
        <v>0.0014</v>
      </c>
      <c r="L243" s="0" t="n">
        <v>0.1</v>
      </c>
      <c r="M243" s="0" t="n">
        <v>0.1442</v>
      </c>
      <c r="N243" s="0" t="n">
        <v>0.0442</v>
      </c>
      <c r="O243" s="0" t="inlineStr">
        <is>
          <t>—</t>
        </is>
      </c>
    </row>
    <row r="244">
      <c r="A244" s="0" t="inlineStr">
        <is>
          <t>20260608</t>
        </is>
      </c>
      <c r="B244" s="0" t="inlineStr">
        <is>
          <t>短融ETF</t>
        </is>
      </c>
      <c r="C244" s="0" t="inlineStr">
        <is>
          <t>511360</t>
        </is>
      </c>
      <c r="D244" s="0" t="n">
        <v>2200</v>
      </c>
      <c r="E244" s="0" t="n">
        <v>113.462</v>
      </c>
      <c r="F244" s="0" t="n">
        <v>249616.4</v>
      </c>
      <c r="G244" s="0" t="n">
        <v>113.558</v>
      </c>
      <c r="H244" s="0" t="n">
        <v>0.0001</v>
      </c>
      <c r="I244" s="0" t="n">
        <v>249827.6</v>
      </c>
      <c r="J244" s="0" t="n">
        <v>211.2</v>
      </c>
      <c r="K244" s="0" t="n">
        <v>0.0008</v>
      </c>
      <c r="L244" s="0" t="n">
        <v>0.05</v>
      </c>
      <c r="M244" s="0" t="n">
        <v>0.0728</v>
      </c>
      <c r="N244" s="0" t="n">
        <v>0.0228</v>
      </c>
      <c r="O244" s="0" t="inlineStr">
        <is>
          <t>—</t>
        </is>
      </c>
    </row>
    <row r="245">
      <c r="A245" s="0" t="inlineStr">
        <is>
          <t>20260608</t>
        </is>
      </c>
      <c r="B245" s="0" t="inlineStr">
        <is>
          <t>黄金ETF</t>
        </is>
      </c>
      <c r="C245" s="0" t="inlineStr">
        <is>
          <t>518880</t>
        </is>
      </c>
      <c r="D245" s="0" t="n">
        <v>55800</v>
      </c>
      <c r="E245" s="0" t="n">
        <v>9.232699999999999</v>
      </c>
      <c r="F245" s="0" t="n">
        <v>515184.66</v>
      </c>
      <c r="G245" s="0" t="n">
        <v>8.952999999999999</v>
      </c>
      <c r="H245" s="0" t="n">
        <v>-0.0323</v>
      </c>
      <c r="I245" s="0" t="n">
        <v>499577.4</v>
      </c>
      <c r="J245" s="0" t="n">
        <v>-15607.26</v>
      </c>
      <c r="K245" s="0" t="n">
        <v>-0.0303</v>
      </c>
      <c r="L245" s="0" t="n">
        <v>0.15</v>
      </c>
      <c r="M245" s="0" t="n">
        <v>0.1456</v>
      </c>
      <c r="N245" s="0" t="n">
        <v>-0.0044</v>
      </c>
      <c r="O245" s="0" t="inlineStr">
        <is>
          <t>—</t>
        </is>
      </c>
    </row>
    <row r="246">
      <c r="A246" s="0" t="inlineStr">
        <is>
          <t>20260608</t>
        </is>
      </c>
      <c r="B246" s="0" t="inlineStr">
        <is>
          <t>银华日利ETF</t>
        </is>
      </c>
      <c r="C246" s="0" t="inlineStr">
        <is>
          <t>511880</t>
        </is>
      </c>
      <c r="G246" s="0" t="n">
        <v>100.516</v>
      </c>
      <c r="H246" s="0" t="n">
        <v>-0.0001</v>
      </c>
      <c r="I246" s="0" t="n">
        <v>0</v>
      </c>
      <c r="J246" s="0" t="n">
        <v>0</v>
      </c>
      <c r="K246" s="0" t="n">
        <v>0</v>
      </c>
      <c r="L246" s="0" t="n">
        <v>0.05</v>
      </c>
      <c r="M246" s="0" t="n">
        <v>0</v>
      </c>
      <c r="N246" s="0" t="n">
        <v>-0.05</v>
      </c>
      <c r="O246" s="0" t="inlineStr">
        <is>
          <t>—</t>
        </is>
      </c>
    </row>
    <row r="247">
      <c r="A247" s="0" t="inlineStr">
        <is>
          <t>20260608</t>
        </is>
      </c>
      <c r="B247" s="0" t="inlineStr">
        <is>
          <t>华宝添益ETF</t>
        </is>
      </c>
      <c r="C247" s="0" t="inlineStr">
        <is>
          <t>511990</t>
        </is>
      </c>
      <c r="G247" s="0" t="n">
        <v>100.002</v>
      </c>
      <c r="H247" s="0" t="n">
        <v>-0.0001</v>
      </c>
      <c r="I247" s="0" t="n">
        <v>0</v>
      </c>
      <c r="J247" s="0" t="n">
        <v>0</v>
      </c>
      <c r="K247" s="0" t="n">
        <v>0</v>
      </c>
      <c r="L247" s="0" t="n">
        <v>0.05</v>
      </c>
      <c r="M247" s="0" t="n">
        <v>0</v>
      </c>
      <c r="N247" s="0" t="n">
        <v>-0.05</v>
      </c>
      <c r="O247" s="0" t="inlineStr">
        <is>
          <t>—</t>
        </is>
      </c>
    </row>
    <row r="248">
      <c r="A248" s="0" t="inlineStr">
        <is>
          <t>20260612</t>
        </is>
      </c>
      <c r="B248" s="0" t="inlineStr">
        <is>
          <t>沪深300ETF</t>
        </is>
      </c>
      <c r="C248" s="0" t="inlineStr">
        <is>
          <t>510300</t>
        </is>
      </c>
      <c r="D248" s="0" t="n">
        <v>153800</v>
      </c>
      <c r="E248" s="0" t="n">
        <v>4.885</v>
      </c>
      <c r="F248" s="0" t="n">
        <v>751313</v>
      </c>
      <c r="G248" s="0" t="n">
        <v>4.818</v>
      </c>
      <c r="H248" s="0" t="n">
        <v>0.0141</v>
      </c>
      <c r="I248" s="0" t="n">
        <v>741008.4</v>
      </c>
      <c r="J248" s="0" t="n">
        <v>-10304.6</v>
      </c>
      <c r="K248" s="0" t="n">
        <v>-0.0137</v>
      </c>
      <c r="L248" s="0" t="n">
        <v>0.15</v>
      </c>
      <c r="M248" s="0" t="n">
        <v>0.2156</v>
      </c>
      <c r="N248" s="0" t="n">
        <v>0.06560000000000001</v>
      </c>
      <c r="O248" s="0" t="inlineStr">
        <is>
          <t>—</t>
        </is>
      </c>
    </row>
    <row r="249">
      <c r="A249" s="0" t="inlineStr">
        <is>
          <t>20260612</t>
        </is>
      </c>
      <c r="B249" s="0" t="inlineStr">
        <is>
          <t>中证500ETF</t>
        </is>
      </c>
      <c r="C249" s="0" t="inlineStr">
        <is>
          <t>510500</t>
        </is>
      </c>
      <c r="D249" s="0" t="n">
        <v>20000</v>
      </c>
      <c r="E249" s="0" t="n">
        <v>8.696</v>
      </c>
      <c r="F249" s="0" t="n">
        <v>173920</v>
      </c>
      <c r="G249" s="0" t="n">
        <v>8.242000000000001</v>
      </c>
      <c r="H249" s="0" t="n">
        <v>0.0134</v>
      </c>
      <c r="I249" s="0" t="n">
        <v>164840</v>
      </c>
      <c r="J249" s="0" t="n">
        <v>-9080</v>
      </c>
      <c r="K249" s="0" t="n">
        <v>-0.0522</v>
      </c>
      <c r="L249" s="0" t="n">
        <v>0.1</v>
      </c>
      <c r="M249" s="0" t="n">
        <v>0.048</v>
      </c>
      <c r="N249" s="0" t="n">
        <v>-0.052</v>
      </c>
      <c r="O249" s="0" t="inlineStr">
        <is>
          <t>—</t>
        </is>
      </c>
    </row>
    <row r="250">
      <c r="A250" s="0" t="inlineStr">
        <is>
          <t>20260612</t>
        </is>
      </c>
      <c r="B250" s="0" t="inlineStr">
        <is>
          <t>科创50ETF</t>
        </is>
      </c>
      <c r="C250" s="0" t="inlineStr">
        <is>
          <t>588050</t>
        </is>
      </c>
      <c r="D250" s="0" t="n">
        <v>60000</v>
      </c>
      <c r="E250" s="0" t="n">
        <v>1.838</v>
      </c>
      <c r="F250" s="0" t="n">
        <v>110280</v>
      </c>
      <c r="G250" s="0" t="n">
        <v>1.709</v>
      </c>
      <c r="H250" s="0" t="n">
        <v>-0.0005999999999999999</v>
      </c>
      <c r="I250" s="0" t="n">
        <v>102540</v>
      </c>
      <c r="J250" s="0" t="n">
        <v>-7740</v>
      </c>
      <c r="K250" s="0" t="n">
        <v>-0.0702</v>
      </c>
      <c r="L250" s="0" t="n">
        <v>0.05</v>
      </c>
      <c r="M250" s="0" t="n">
        <v>0.0298</v>
      </c>
      <c r="N250" s="0" t="n">
        <v>-0.0202</v>
      </c>
      <c r="O250" s="0" t="inlineStr">
        <is>
          <t>—</t>
        </is>
      </c>
    </row>
    <row r="251">
      <c r="A251" s="0" t="inlineStr">
        <is>
          <t>20260612</t>
        </is>
      </c>
      <c r="B251" s="0" t="inlineStr">
        <is>
          <t>创业板ETF</t>
        </is>
      </c>
      <c r="C251" s="0" t="inlineStr">
        <is>
          <t>159915</t>
        </is>
      </c>
      <c r="D251" s="0" t="n">
        <v>63000</v>
      </c>
      <c r="E251" s="0" t="n">
        <v>3.968</v>
      </c>
      <c r="F251" s="0" t="n">
        <v>249984</v>
      </c>
      <c r="G251" s="0" t="n">
        <v>3.846</v>
      </c>
      <c r="H251" s="0" t="n">
        <v>0.0042</v>
      </c>
      <c r="I251" s="0" t="n">
        <v>242298</v>
      </c>
      <c r="J251" s="0" t="n">
        <v>-7686</v>
      </c>
      <c r="K251" s="0" t="n">
        <v>-0.0307</v>
      </c>
      <c r="L251" s="0" t="n">
        <v>0.05</v>
      </c>
      <c r="M251" s="0" t="n">
        <v>0.07049999999999999</v>
      </c>
      <c r="N251" s="0" t="n">
        <v>0.0205</v>
      </c>
      <c r="O251" s="0" t="inlineStr">
        <is>
          <t>—</t>
        </is>
      </c>
    </row>
    <row r="252">
      <c r="A252" s="0" t="inlineStr">
        <is>
          <t>20260612</t>
        </is>
      </c>
      <c r="B252" s="0" t="inlineStr">
        <is>
          <t>红利低波ETF</t>
        </is>
      </c>
      <c r="C252" s="0" t="inlineStr">
        <is>
          <t>512890</t>
        </is>
      </c>
      <c r="D252" s="0" t="n">
        <v>218000</v>
      </c>
      <c r="E252" s="0" t="n">
        <v>1.15</v>
      </c>
      <c r="F252" s="0" t="n">
        <v>250700</v>
      </c>
      <c r="G252" s="0" t="n">
        <v>1.172</v>
      </c>
      <c r="H252" s="0" t="n">
        <v>0.0086</v>
      </c>
      <c r="I252" s="0" t="n">
        <v>255496</v>
      </c>
      <c r="J252" s="0" t="n">
        <v>4796</v>
      </c>
      <c r="K252" s="0" t="n">
        <v>0.0191</v>
      </c>
      <c r="L252" s="0" t="n">
        <v>0.05</v>
      </c>
      <c r="M252" s="0" t="n">
        <v>0.0743</v>
      </c>
      <c r="N252" s="0" t="n">
        <v>0.0243</v>
      </c>
      <c r="O252" s="0" t="inlineStr">
        <is>
          <t>—</t>
        </is>
      </c>
    </row>
    <row r="253">
      <c r="A253" s="0" t="inlineStr">
        <is>
          <t>20260612</t>
        </is>
      </c>
      <c r="B253" s="0" t="inlineStr">
        <is>
          <t>可转债ETF</t>
        </is>
      </c>
      <c r="C253" s="0" t="inlineStr">
        <is>
          <t>511380</t>
        </is>
      </c>
      <c r="D253" s="0" t="n">
        <v>14500</v>
      </c>
      <c r="E253" s="0" t="n">
        <v>13.8644</v>
      </c>
      <c r="F253" s="0" t="n">
        <v>201033.8</v>
      </c>
      <c r="G253" s="0" t="n">
        <v>13.929</v>
      </c>
      <c r="H253" s="0" t="n">
        <v>0.0083</v>
      </c>
      <c r="I253" s="0" t="n">
        <v>201970.5</v>
      </c>
      <c r="J253" s="0" t="n">
        <v>936.7</v>
      </c>
      <c r="K253" s="0" t="n">
        <v>0.0047</v>
      </c>
      <c r="L253" s="0" t="n">
        <v>0.1</v>
      </c>
      <c r="M253" s="0" t="n">
        <v>0.0588</v>
      </c>
      <c r="N253" s="0" t="n">
        <v>-0.0412</v>
      </c>
      <c r="O253" s="0" t="inlineStr">
        <is>
          <t>—</t>
        </is>
      </c>
    </row>
    <row r="254">
      <c r="A254" s="0" t="inlineStr">
        <is>
          <t>20260612</t>
        </is>
      </c>
      <c r="B254" s="0" t="inlineStr">
        <is>
          <t>10年国债ETF</t>
        </is>
      </c>
      <c r="C254" s="0" t="inlineStr">
        <is>
          <t>511260</t>
        </is>
      </c>
      <c r="D254" s="0" t="n">
        <v>3700</v>
      </c>
      <c r="E254" s="0" t="n">
        <v>135.645</v>
      </c>
      <c r="F254" s="0" t="n">
        <v>501886.5</v>
      </c>
      <c r="G254" s="0" t="n">
        <v>135.582</v>
      </c>
      <c r="H254" s="0" t="n">
        <v>0.0005</v>
      </c>
      <c r="I254" s="0" t="n">
        <v>501653.4</v>
      </c>
      <c r="J254" s="0" t="n">
        <v>-233.1</v>
      </c>
      <c r="K254" s="0" t="n">
        <v>-0.0005</v>
      </c>
      <c r="L254" s="0" t="n">
        <v>0.1</v>
      </c>
      <c r="M254" s="0" t="n">
        <v>0.146</v>
      </c>
      <c r="N254" s="0" t="n">
        <v>0.046</v>
      </c>
      <c r="O254" s="0" t="inlineStr">
        <is>
          <t>—</t>
        </is>
      </c>
    </row>
    <row r="255">
      <c r="A255" s="0" t="inlineStr">
        <is>
          <t>20260612</t>
        </is>
      </c>
      <c r="B255" s="0" t="inlineStr">
        <is>
          <t>5年国债ETF</t>
        </is>
      </c>
      <c r="C255" s="0" t="inlineStr">
        <is>
          <t>511010</t>
        </is>
      </c>
      <c r="D255" s="0" t="n">
        <v>3500</v>
      </c>
      <c r="E255" s="0" t="n">
        <v>141.2121</v>
      </c>
      <c r="F255" s="0" t="n">
        <v>494242.35</v>
      </c>
      <c r="G255" s="0" t="n">
        <v>141.163</v>
      </c>
      <c r="H255" s="0" t="n">
        <v>0.0002</v>
      </c>
      <c r="I255" s="0" t="n">
        <v>494070.5</v>
      </c>
      <c r="J255" s="0" t="n">
        <v>-171.85</v>
      </c>
      <c r="K255" s="0" t="n">
        <v>-0.0003</v>
      </c>
      <c r="L255" s="0" t="n">
        <v>0.1</v>
      </c>
      <c r="M255" s="0" t="n">
        <v>0.1438</v>
      </c>
      <c r="N255" s="0" t="n">
        <v>0.0438</v>
      </c>
      <c r="O255" s="0" t="inlineStr">
        <is>
          <t>—</t>
        </is>
      </c>
    </row>
    <row r="256">
      <c r="A256" s="0" t="inlineStr">
        <is>
          <t>20260612</t>
        </is>
      </c>
      <c r="B256" s="0" t="inlineStr">
        <is>
          <t>短融ETF</t>
        </is>
      </c>
      <c r="C256" s="0" t="inlineStr">
        <is>
          <t>511360</t>
        </is>
      </c>
      <c r="D256" s="0" t="n">
        <v>2200</v>
      </c>
      <c r="E256" s="0" t="n">
        <v>113.462</v>
      </c>
      <c r="F256" s="0" t="n">
        <v>249616.4</v>
      </c>
      <c r="G256" s="0" t="n">
        <v>113.538</v>
      </c>
      <c r="H256" s="0" t="n">
        <v>-0.0001</v>
      </c>
      <c r="I256" s="0" t="n">
        <v>249783.6</v>
      </c>
      <c r="J256" s="0" t="n">
        <v>167.2</v>
      </c>
      <c r="K256" s="0" t="n">
        <v>0.0007</v>
      </c>
      <c r="L256" s="0" t="n">
        <v>0.05</v>
      </c>
      <c r="M256" s="0" t="n">
        <v>0.0727</v>
      </c>
      <c r="N256" s="0" t="n">
        <v>0.0227</v>
      </c>
      <c r="O256" s="0" t="inlineStr">
        <is>
          <t>—</t>
        </is>
      </c>
    </row>
    <row r="257">
      <c r="A257" s="0" t="inlineStr">
        <is>
          <t>20260612</t>
        </is>
      </c>
      <c r="B257" s="0" t="inlineStr">
        <is>
          <t>黄金ETF</t>
        </is>
      </c>
      <c r="C257" s="0" t="inlineStr">
        <is>
          <t>518880</t>
        </is>
      </c>
      <c r="D257" s="0" t="n">
        <v>55800</v>
      </c>
      <c r="E257" s="0" t="n">
        <v>9.232699999999999</v>
      </c>
      <c r="F257" s="0" t="n">
        <v>515184.66</v>
      </c>
      <c r="G257" s="0" t="n">
        <v>8.659000000000001</v>
      </c>
      <c r="H257" s="0" t="n">
        <v>0.018</v>
      </c>
      <c r="I257" s="0" t="n">
        <v>483172.2</v>
      </c>
      <c r="J257" s="0" t="n">
        <v>-32012.46</v>
      </c>
      <c r="K257" s="0" t="n">
        <v>-0.0621</v>
      </c>
      <c r="L257" s="0" t="n">
        <v>0.15</v>
      </c>
      <c r="M257" s="0" t="n">
        <v>0.1406</v>
      </c>
      <c r="N257" s="0" t="n">
        <v>-0.0094</v>
      </c>
      <c r="O257" s="0" t="inlineStr">
        <is>
          <t>—</t>
        </is>
      </c>
    </row>
    <row r="258">
      <c r="A258" s="0" t="inlineStr">
        <is>
          <t>20260612</t>
        </is>
      </c>
      <c r="B258" s="0" t="inlineStr">
        <is>
          <t>银华日利ETF</t>
        </is>
      </c>
      <c r="C258" s="0" t="inlineStr">
        <is>
          <t>511880</t>
        </is>
      </c>
      <c r="G258" s="0" t="n">
        <v>100.517</v>
      </c>
      <c r="H258" s="0" t="n">
        <v>-0.0001</v>
      </c>
      <c r="I258" s="0" t="n">
        <v>0</v>
      </c>
      <c r="J258" s="0" t="n">
        <v>0</v>
      </c>
      <c r="K258" s="0" t="n">
        <v>0</v>
      </c>
      <c r="L258" s="0" t="n">
        <v>0.05</v>
      </c>
      <c r="M258" s="0" t="n">
        <v>0</v>
      </c>
      <c r="N258" s="0" t="n">
        <v>-0.05</v>
      </c>
      <c r="O258" s="0" t="inlineStr">
        <is>
          <t>—</t>
        </is>
      </c>
    </row>
    <row r="259">
      <c r="A259" s="0" t="inlineStr">
        <is>
          <t>20260612</t>
        </is>
      </c>
      <c r="B259" s="0" t="inlineStr">
        <is>
          <t>华宝添益ETF</t>
        </is>
      </c>
      <c r="C259" s="0" t="inlineStr">
        <is>
          <t>511990</t>
        </is>
      </c>
      <c r="G259" s="0" t="n">
        <v>100.003</v>
      </c>
      <c r="I259" s="0" t="n">
        <v>0</v>
      </c>
      <c r="J259" s="0" t="n">
        <v>0</v>
      </c>
      <c r="K259" s="0" t="n">
        <v>0</v>
      </c>
      <c r="L259" s="0" t="n">
        <v>0.05</v>
      </c>
      <c r="M259" s="0" t="n">
        <v>0</v>
      </c>
      <c r="N259" s="0" t="n">
        <v>-0.05</v>
      </c>
      <c r="O259" s="0" t="inlineStr">
        <is>
          <t>—</t>
        </is>
      </c>
    </row>
    <row r="260">
      <c r="A260" s="0" t="inlineStr">
        <is>
          <t>20260622</t>
        </is>
      </c>
      <c r="B260" s="0" t="inlineStr">
        <is>
          <t>沪深300ETF</t>
        </is>
      </c>
      <c r="C260" s="0" t="inlineStr">
        <is>
          <t>510300</t>
        </is>
      </c>
      <c r="D260" s="0" t="n">
        <v>153800</v>
      </c>
      <c r="E260" s="0" t="n">
        <v>4.885</v>
      </c>
      <c r="F260" s="0" t="n">
        <v>751313</v>
      </c>
      <c r="G260" s="0" t="n">
        <v>5.091</v>
      </c>
      <c r="H260" s="0" t="n">
        <v>0.0215</v>
      </c>
      <c r="I260" s="0" t="n">
        <v>782995.8</v>
      </c>
      <c r="J260" s="0" t="n">
        <v>31682.8</v>
      </c>
      <c r="K260" s="0" t="n">
        <v>0.0422</v>
      </c>
      <c r="L260" s="0" t="n">
        <v>0.1875</v>
      </c>
      <c r="M260" s="0" t="n">
        <v>0.2331</v>
      </c>
      <c r="N260" s="0" t="n">
        <v>0.0456</v>
      </c>
      <c r="O260" s="0" t="inlineStr">
        <is>
          <t>—</t>
        </is>
      </c>
    </row>
    <row r="261">
      <c r="A261" s="0" t="inlineStr">
        <is>
          <t>20260622</t>
        </is>
      </c>
      <c r="B261" s="0" t="inlineStr">
        <is>
          <t>科创50ETF</t>
        </is>
      </c>
      <c r="C261" s="0" t="inlineStr">
        <is>
          <t>588050</t>
        </is>
      </c>
      <c r="D261" s="0" t="n">
        <v>60000</v>
      </c>
      <c r="E261" s="0" t="n">
        <v>1.838</v>
      </c>
      <c r="F261" s="0" t="n">
        <v>110280</v>
      </c>
      <c r="G261" s="0" t="n">
        <v>2.001</v>
      </c>
      <c r="H261" s="0" t="n">
        <v>0.022</v>
      </c>
      <c r="I261" s="0" t="n">
        <v>120060</v>
      </c>
      <c r="J261" s="0" t="n">
        <v>9780</v>
      </c>
      <c r="K261" s="0" t="n">
        <v>0.0887</v>
      </c>
      <c r="L261" s="0" t="n">
        <v>0.0625</v>
      </c>
      <c r="M261" s="0" t="n">
        <v>0.0357</v>
      </c>
      <c r="N261" s="0" t="n">
        <v>-0.0268</v>
      </c>
      <c r="O261" s="0" t="inlineStr">
        <is>
          <t>—</t>
        </is>
      </c>
    </row>
    <row r="262">
      <c r="A262" s="0" t="inlineStr">
        <is>
          <t>20260622</t>
        </is>
      </c>
      <c r="B262" s="0" t="inlineStr">
        <is>
          <t>创业板ETF</t>
        </is>
      </c>
      <c r="C262" s="0" t="inlineStr">
        <is>
          <t>159915</t>
        </is>
      </c>
      <c r="D262" s="0" t="n">
        <v>63000</v>
      </c>
      <c r="E262" s="0" t="n">
        <v>3.968</v>
      </c>
      <c r="F262" s="0" t="n">
        <v>249984</v>
      </c>
      <c r="G262" s="0" t="n">
        <v>4.379</v>
      </c>
      <c r="H262" s="0" t="n">
        <v>0.0258</v>
      </c>
      <c r="I262" s="0" t="n">
        <v>275877</v>
      </c>
      <c r="J262" s="0" t="n">
        <v>25893</v>
      </c>
      <c r="K262" s="0" t="n">
        <v>0.1036</v>
      </c>
      <c r="L262" s="0" t="n">
        <v>0.0625</v>
      </c>
      <c r="M262" s="0" t="n">
        <v>0.08210000000000001</v>
      </c>
      <c r="N262" s="0" t="n">
        <v>0.0196</v>
      </c>
      <c r="O262" s="0" t="inlineStr">
        <is>
          <t>—</t>
        </is>
      </c>
    </row>
    <row r="263">
      <c r="A263" s="0" t="inlineStr">
        <is>
          <t>20260622</t>
        </is>
      </c>
      <c r="B263" s="0" t="inlineStr">
        <is>
          <t>红利低波ETF</t>
        </is>
      </c>
      <c r="C263" s="0" t="inlineStr">
        <is>
          <t>512890</t>
        </is>
      </c>
      <c r="D263" s="0" t="n">
        <v>218000</v>
      </c>
      <c r="E263" s="0" t="n">
        <v>1.15</v>
      </c>
      <c r="F263" s="0" t="n">
        <v>250700</v>
      </c>
      <c r="G263" s="0" t="n">
        <v>1.114</v>
      </c>
      <c r="H263" s="0" t="n">
        <v>-0.0009</v>
      </c>
      <c r="I263" s="0" t="n">
        <v>242852</v>
      </c>
      <c r="J263" s="0" t="n">
        <v>-7848</v>
      </c>
      <c r="K263" s="0" t="n">
        <v>-0.0313</v>
      </c>
      <c r="L263" s="0" t="n">
        <v>0.0625</v>
      </c>
      <c r="M263" s="0" t="n">
        <v>0.0723</v>
      </c>
      <c r="N263" s="0" t="n">
        <v>0.0098</v>
      </c>
      <c r="O263" s="0" t="inlineStr">
        <is>
          <t>—</t>
        </is>
      </c>
    </row>
    <row r="264">
      <c r="A264" s="0" t="inlineStr">
        <is>
          <t>20260622</t>
        </is>
      </c>
      <c r="B264" s="0" t="inlineStr">
        <is>
          <t>可转债ETF</t>
        </is>
      </c>
      <c r="C264" s="0" t="inlineStr">
        <is>
          <t>511380</t>
        </is>
      </c>
      <c r="D264" s="0" t="n">
        <v>14500</v>
      </c>
      <c r="E264" s="0" t="n">
        <v>13.8644</v>
      </c>
      <c r="F264" s="0" t="n">
        <v>201033.8</v>
      </c>
      <c r="G264" s="0" t="n">
        <v>14.039</v>
      </c>
      <c r="H264" s="0" t="n">
        <v>-0.002</v>
      </c>
      <c r="I264" s="0" t="n">
        <v>203565.5</v>
      </c>
      <c r="J264" s="0" t="n">
        <v>2531.7</v>
      </c>
      <c r="K264" s="0" t="n">
        <v>0.0126</v>
      </c>
      <c r="L264" s="0" t="n">
        <v>0.125</v>
      </c>
      <c r="M264" s="0" t="n">
        <v>0.0606</v>
      </c>
      <c r="N264" s="0" t="n">
        <v>-0.0644</v>
      </c>
      <c r="O264" s="0" t="inlineStr">
        <is>
          <t>—</t>
        </is>
      </c>
    </row>
    <row r="265">
      <c r="A265" s="0" t="inlineStr">
        <is>
          <t>20260622</t>
        </is>
      </c>
      <c r="B265" s="0" t="inlineStr">
        <is>
          <t>10年国债ETF</t>
        </is>
      </c>
      <c r="C265" s="0" t="inlineStr">
        <is>
          <t>511260</t>
        </is>
      </c>
      <c r="D265" s="0" t="n">
        <v>3700</v>
      </c>
      <c r="E265" s="0" t="n">
        <v>135.645</v>
      </c>
      <c r="F265" s="0" t="n">
        <v>501886.5</v>
      </c>
      <c r="G265" s="0" t="n">
        <v>135.961</v>
      </c>
      <c r="H265" s="0" t="n">
        <v>-0.0002</v>
      </c>
      <c r="I265" s="0" t="n">
        <v>503055.7</v>
      </c>
      <c r="J265" s="0" t="n">
        <v>1169.2</v>
      </c>
      <c r="K265" s="0" t="n">
        <v>0.0023</v>
      </c>
      <c r="L265" s="0" t="n">
        <v>0.125</v>
      </c>
      <c r="M265" s="0" t="n">
        <v>0.1497</v>
      </c>
      <c r="N265" s="0" t="n">
        <v>0.0247</v>
      </c>
      <c r="O265" s="0" t="inlineStr">
        <is>
          <t>—</t>
        </is>
      </c>
    </row>
    <row r="266">
      <c r="A266" s="0" t="inlineStr">
        <is>
          <t>20260622</t>
        </is>
      </c>
      <c r="B266" s="0" t="inlineStr">
        <is>
          <t>5年国债ETF</t>
        </is>
      </c>
      <c r="C266" s="0" t="inlineStr">
        <is>
          <t>511010</t>
        </is>
      </c>
      <c r="D266" s="0" t="n">
        <v>3500</v>
      </c>
      <c r="E266" s="0" t="n">
        <v>141.2121</v>
      </c>
      <c r="F266" s="0" t="n">
        <v>494242.35</v>
      </c>
      <c r="G266" s="0" t="n">
        <v>141.463</v>
      </c>
      <c r="H266" s="0" t="n">
        <v>0.0002</v>
      </c>
      <c r="I266" s="0" t="n">
        <v>495120.5</v>
      </c>
      <c r="J266" s="0" t="n">
        <v>878.15</v>
      </c>
      <c r="K266" s="0" t="n">
        <v>0.0018</v>
      </c>
      <c r="L266" s="0" t="n">
        <v>0.125</v>
      </c>
      <c r="M266" s="0" t="n">
        <v>0.1474</v>
      </c>
      <c r="N266" s="0" t="n">
        <v>0.0224</v>
      </c>
      <c r="O266" s="0" t="inlineStr">
        <is>
          <t>—</t>
        </is>
      </c>
    </row>
    <row r="267">
      <c r="A267" s="0" t="inlineStr">
        <is>
          <t>20260622</t>
        </is>
      </c>
      <c r="B267" s="0" t="inlineStr">
        <is>
          <t>短融ETF</t>
        </is>
      </c>
      <c r="C267" s="0" t="inlineStr">
        <is>
          <t>511360</t>
        </is>
      </c>
      <c r="D267" s="0" t="n">
        <v>2200</v>
      </c>
      <c r="E267" s="0" t="n">
        <v>113.462</v>
      </c>
      <c r="F267" s="0" t="n">
        <v>249616.4</v>
      </c>
      <c r="G267" s="0" t="n">
        <v>113.58</v>
      </c>
      <c r="H267" s="0" t="n">
        <v>0.0002</v>
      </c>
      <c r="I267" s="0" t="n">
        <v>249876</v>
      </c>
      <c r="J267" s="0" t="n">
        <v>259.6</v>
      </c>
      <c r="K267" s="0" t="n">
        <v>0.001</v>
      </c>
      <c r="L267" s="0" t="n">
        <v>0.0625</v>
      </c>
      <c r="M267" s="0" t="n">
        <v>0.07439999999999999</v>
      </c>
      <c r="N267" s="0" t="n">
        <v>0.0119</v>
      </c>
      <c r="O267" s="0" t="inlineStr">
        <is>
          <t>—</t>
        </is>
      </c>
    </row>
    <row r="268">
      <c r="A268" s="0" t="inlineStr">
        <is>
          <t>20260622</t>
        </is>
      </c>
      <c r="B268" s="0" t="inlineStr">
        <is>
          <t>黄金ETF</t>
        </is>
      </c>
      <c r="C268" s="0" t="inlineStr">
        <is>
          <t>518880</t>
        </is>
      </c>
      <c r="D268" s="0" t="n">
        <v>55800</v>
      </c>
      <c r="E268" s="0" t="n">
        <v>9.232699999999999</v>
      </c>
      <c r="F268" s="0" t="n">
        <v>515184.66</v>
      </c>
      <c r="G268" s="0" t="n">
        <v>8.715999999999999</v>
      </c>
      <c r="H268" s="0" t="n">
        <v>-0.0216</v>
      </c>
      <c r="I268" s="0" t="n">
        <v>486352.8</v>
      </c>
      <c r="J268" s="0" t="n">
        <v>-28831.86</v>
      </c>
      <c r="K268" s="0" t="n">
        <v>-0.056</v>
      </c>
      <c r="L268" s="0" t="n">
        <v>0.1875</v>
      </c>
      <c r="M268" s="0" t="n">
        <v>0.1448</v>
      </c>
      <c r="N268" s="0" t="n">
        <v>-0.0427</v>
      </c>
      <c r="O268" s="0" t="inlineStr">
        <is>
          <t>—</t>
        </is>
      </c>
    </row>
    <row r="269">
      <c r="A269" s="0" t="inlineStr">
        <is>
          <t>20260623</t>
        </is>
      </c>
      <c r="B269" s="0" t="inlineStr">
        <is>
          <t>沪深300ETF</t>
        </is>
      </c>
      <c r="C269" s="0" t="inlineStr">
        <is>
          <t>510300</t>
        </is>
      </c>
      <c r="D269" s="0" t="n">
        <v>153800</v>
      </c>
      <c r="E269" s="0" t="n">
        <v>4.885</v>
      </c>
      <c r="F269" s="0" t="n">
        <v>751313</v>
      </c>
      <c r="G269" s="0" t="n">
        <v>4.942</v>
      </c>
      <c r="I269" s="0" t="n">
        <v>760079.6</v>
      </c>
      <c r="J269" s="0" t="n">
        <v>8766.6</v>
      </c>
      <c r="K269" s="0" t="n">
        <v>0.0117</v>
      </c>
      <c r="L269" s="0" t="n">
        <v>0.1875</v>
      </c>
      <c r="M269" s="0" t="n">
        <v>0.2295</v>
      </c>
      <c r="N269" s="0" t="n">
        <v>0.042</v>
      </c>
      <c r="O269" s="0" t="inlineStr">
        <is>
          <t>—</t>
        </is>
      </c>
    </row>
    <row r="270">
      <c r="A270" s="0" t="inlineStr">
        <is>
          <t>20260623</t>
        </is>
      </c>
      <c r="B270" s="0" t="inlineStr">
        <is>
          <t>科创50ETF</t>
        </is>
      </c>
      <c r="C270" s="0" t="inlineStr">
        <is>
          <t>588050</t>
        </is>
      </c>
      <c r="D270" s="0" t="n">
        <v>60000</v>
      </c>
      <c r="E270" s="0" t="n">
        <v>1.838</v>
      </c>
      <c r="F270" s="0" t="n">
        <v>110280</v>
      </c>
      <c r="G270" s="0" t="n">
        <v>1.965</v>
      </c>
      <c r="H270" s="0" t="n">
        <v>-0.018</v>
      </c>
      <c r="I270" s="0" t="n">
        <v>117900</v>
      </c>
      <c r="J270" s="0" t="n">
        <v>7620</v>
      </c>
      <c r="K270" s="0" t="n">
        <v>0.06909999999999999</v>
      </c>
      <c r="L270" s="0" t="n">
        <v>0.0625</v>
      </c>
      <c r="M270" s="0" t="n">
        <v>0.0356</v>
      </c>
      <c r="N270" s="0" t="n">
        <v>-0.0269</v>
      </c>
      <c r="O270" s="0" t="inlineStr">
        <is>
          <t>—</t>
        </is>
      </c>
    </row>
    <row r="271">
      <c r="A271" s="0" t="inlineStr">
        <is>
          <t>20260623</t>
        </is>
      </c>
      <c r="B271" s="0" t="inlineStr">
        <is>
          <t>创业板ETF</t>
        </is>
      </c>
      <c r="C271" s="0" t="inlineStr">
        <is>
          <t>159915</t>
        </is>
      </c>
      <c r="D271" s="0" t="n">
        <v>63000</v>
      </c>
      <c r="E271" s="0" t="n">
        <v>3.968</v>
      </c>
      <c r="F271" s="0" t="n">
        <v>249984</v>
      </c>
      <c r="G271" s="0" t="n">
        <v>4.21</v>
      </c>
      <c r="H271" s="0" t="n">
        <v>-0.0386</v>
      </c>
      <c r="I271" s="0" t="n">
        <v>265230</v>
      </c>
      <c r="J271" s="0" t="n">
        <v>15246</v>
      </c>
      <c r="K271" s="0" t="n">
        <v>0.061</v>
      </c>
      <c r="L271" s="0" t="n">
        <v>0.0625</v>
      </c>
      <c r="M271" s="0" t="n">
        <v>0.0801</v>
      </c>
      <c r="N271" s="0" t="n">
        <v>0.0176</v>
      </c>
      <c r="O271" s="0" t="inlineStr">
        <is>
          <t>—</t>
        </is>
      </c>
    </row>
    <row r="272">
      <c r="A272" s="0" t="inlineStr">
        <is>
          <t>20260623</t>
        </is>
      </c>
      <c r="B272" s="0" t="inlineStr">
        <is>
          <t>红利低波ETF</t>
        </is>
      </c>
      <c r="C272" s="0" t="inlineStr">
        <is>
          <t>512890</t>
        </is>
      </c>
      <c r="D272" s="0" t="n">
        <v>218000</v>
      </c>
      <c r="E272" s="0" t="n">
        <v>1.15</v>
      </c>
      <c r="F272" s="0" t="n">
        <v>250700</v>
      </c>
      <c r="G272" s="0" t="n">
        <v>1.118</v>
      </c>
      <c r="H272" s="0" t="n">
        <v>0.0036</v>
      </c>
      <c r="I272" s="0" t="n">
        <v>243724</v>
      </c>
      <c r="J272" s="0" t="n">
        <v>-6976</v>
      </c>
      <c r="K272" s="0" t="n">
        <v>-0.0278</v>
      </c>
      <c r="L272" s="0" t="n">
        <v>0.0625</v>
      </c>
      <c r="M272" s="0" t="n">
        <v>0.0736</v>
      </c>
      <c r="N272" s="0" t="n">
        <v>0.0111</v>
      </c>
      <c r="O272" s="0" t="inlineStr">
        <is>
          <t>—</t>
        </is>
      </c>
    </row>
    <row r="273">
      <c r="A273" s="0" t="inlineStr">
        <is>
          <t>20260623</t>
        </is>
      </c>
      <c r="B273" s="0" t="inlineStr">
        <is>
          <t>可转债ETF</t>
        </is>
      </c>
      <c r="C273" s="0" t="inlineStr">
        <is>
          <t>511380</t>
        </is>
      </c>
      <c r="D273" s="0" t="n">
        <v>14500</v>
      </c>
      <c r="E273" s="0" t="n">
        <v>13.8644</v>
      </c>
      <c r="F273" s="0" t="n">
        <v>201033.8</v>
      </c>
      <c r="G273" s="0" t="n">
        <v>13.933</v>
      </c>
      <c r="H273" s="0" t="n">
        <v>-0.0076</v>
      </c>
      <c r="I273" s="0" t="n">
        <v>202028.5</v>
      </c>
      <c r="J273" s="0" t="n">
        <v>994.7</v>
      </c>
      <c r="K273" s="0" t="n">
        <v>0.0049</v>
      </c>
      <c r="L273" s="0" t="n">
        <v>0.125</v>
      </c>
      <c r="M273" s="0" t="n">
        <v>0.061</v>
      </c>
      <c r="N273" s="0" t="n">
        <v>-0.064</v>
      </c>
      <c r="O273" s="0" t="inlineStr">
        <is>
          <t>—</t>
        </is>
      </c>
    </row>
    <row r="274">
      <c r="A274" s="0" t="inlineStr">
        <is>
          <t>20260623</t>
        </is>
      </c>
      <c r="B274" s="0" t="inlineStr">
        <is>
          <t>10年国债ETF</t>
        </is>
      </c>
      <c r="C274" s="0" t="inlineStr">
        <is>
          <t>511260</t>
        </is>
      </c>
      <c r="D274" s="0" t="n">
        <v>3700</v>
      </c>
      <c r="E274" s="0" t="n">
        <v>135.645</v>
      </c>
      <c r="F274" s="0" t="n">
        <v>501886.5</v>
      </c>
      <c r="G274" s="0" t="n">
        <v>135.787</v>
      </c>
      <c r="H274" s="0" t="n">
        <v>-0.0013</v>
      </c>
      <c r="I274" s="0" t="n">
        <v>502411.9</v>
      </c>
      <c r="J274" s="0" t="n">
        <v>525.4</v>
      </c>
      <c r="K274" s="0" t="n">
        <v>0.001</v>
      </c>
      <c r="L274" s="0" t="n">
        <v>0.125</v>
      </c>
      <c r="M274" s="0" t="n">
        <v>0.1517</v>
      </c>
      <c r="N274" s="0" t="n">
        <v>0.0267</v>
      </c>
      <c r="O274" s="0" t="inlineStr">
        <is>
          <t>—</t>
        </is>
      </c>
    </row>
    <row r="275">
      <c r="A275" s="0" t="inlineStr">
        <is>
          <t>20260623</t>
        </is>
      </c>
      <c r="B275" s="0" t="inlineStr">
        <is>
          <t>5年国债ETF</t>
        </is>
      </c>
      <c r="C275" s="0" t="inlineStr">
        <is>
          <t>511010</t>
        </is>
      </c>
      <c r="D275" s="0" t="n">
        <v>3500</v>
      </c>
      <c r="E275" s="0" t="n">
        <v>141.2121</v>
      </c>
      <c r="F275" s="0" t="n">
        <v>494242.35</v>
      </c>
      <c r="G275" s="0" t="n">
        <v>141.372</v>
      </c>
      <c r="H275" s="0" t="n">
        <v>-0.0005999999999999999</v>
      </c>
      <c r="I275" s="0" t="n">
        <v>494802</v>
      </c>
      <c r="J275" s="0" t="n">
        <v>559.65</v>
      </c>
      <c r="K275" s="0" t="n">
        <v>0.0011</v>
      </c>
      <c r="L275" s="0" t="n">
        <v>0.125</v>
      </c>
      <c r="M275" s="0" t="n">
        <v>0.1494</v>
      </c>
      <c r="N275" s="0" t="n">
        <v>0.0244</v>
      </c>
      <c r="O275" s="0" t="inlineStr">
        <is>
          <t>—</t>
        </is>
      </c>
    </row>
    <row r="276">
      <c r="A276" s="0" t="inlineStr">
        <is>
          <t>20260623</t>
        </is>
      </c>
      <c r="B276" s="0" t="inlineStr">
        <is>
          <t>短融ETF</t>
        </is>
      </c>
      <c r="C276" s="0" t="inlineStr">
        <is>
          <t>511360</t>
        </is>
      </c>
      <c r="D276" s="0" t="n">
        <v>2200</v>
      </c>
      <c r="E276" s="0" t="n">
        <v>113.462</v>
      </c>
      <c r="F276" s="0" t="n">
        <v>249616.4</v>
      </c>
      <c r="G276" s="0" t="n">
        <v>113.607</v>
      </c>
      <c r="H276" s="0" t="n">
        <v>0.0002</v>
      </c>
      <c r="I276" s="0" t="n">
        <v>249935.4</v>
      </c>
      <c r="J276" s="0" t="n">
        <v>319</v>
      </c>
      <c r="K276" s="0" t="n">
        <v>0.0013</v>
      </c>
      <c r="L276" s="0" t="n">
        <v>0.0625</v>
      </c>
      <c r="M276" s="0" t="n">
        <v>0.0755</v>
      </c>
      <c r="N276" s="0" t="n">
        <v>0.013</v>
      </c>
      <c r="O276" s="0" t="inlineStr">
        <is>
          <t>—</t>
        </is>
      </c>
    </row>
    <row r="277">
      <c r="A277" s="0" t="inlineStr">
        <is>
          <t>20260623</t>
        </is>
      </c>
      <c r="B277" s="0" t="inlineStr">
        <is>
          <t>黄金ETF</t>
        </is>
      </c>
      <c r="C277" s="0" t="inlineStr">
        <is>
          <t>518880</t>
        </is>
      </c>
      <c r="D277" s="0" t="n">
        <v>55800</v>
      </c>
      <c r="E277" s="0" t="n">
        <v>9.232699999999999</v>
      </c>
      <c r="F277" s="0" t="n">
        <v>515184.66</v>
      </c>
      <c r="G277" s="0" t="n">
        <v>8.537000000000001</v>
      </c>
      <c r="H277" s="0" t="n">
        <v>-0.0205</v>
      </c>
      <c r="I277" s="0" t="n">
        <v>476364.6</v>
      </c>
      <c r="J277" s="0" t="n">
        <v>-38820.06</v>
      </c>
      <c r="K277" s="0" t="n">
        <v>-0.07539999999999999</v>
      </c>
      <c r="L277" s="0" t="n">
        <v>0.1875</v>
      </c>
      <c r="M277" s="0" t="n">
        <v>0.1438</v>
      </c>
      <c r="N277" s="0" t="n">
        <v>-0.0437</v>
      </c>
      <c r="O277" s="0" t="inlineStr">
        <is>
          <t>—</t>
        </is>
      </c>
    </row>
    <row r="278">
      <c r="A278" s="0" t="inlineStr">
        <is>
          <t>20260624</t>
        </is>
      </c>
      <c r="B278" s="0" t="inlineStr">
        <is>
          <t>沪深300ETF</t>
        </is>
      </c>
      <c r="C278" s="0" t="inlineStr">
        <is>
          <t>510300</t>
        </is>
      </c>
      <c r="D278" s="0" t="n">
        <v>153800</v>
      </c>
      <c r="E278" s="0" t="n">
        <v>4.885</v>
      </c>
      <c r="F278" s="0" t="n">
        <v>751313</v>
      </c>
      <c r="G278" s="0" t="n">
        <v>4.967</v>
      </c>
      <c r="H278" s="0" t="n">
        <v>0.0051</v>
      </c>
      <c r="I278" s="0" t="n">
        <v>763924.6</v>
      </c>
      <c r="J278" s="0" t="n">
        <v>12611.6</v>
      </c>
      <c r="K278" s="0" t="n">
        <v>0.0168</v>
      </c>
      <c r="L278" s="0" t="n">
        <v>0.1875</v>
      </c>
      <c r="M278" s="0" t="n">
        <v>0.2301</v>
      </c>
      <c r="N278" s="0" t="n">
        <v>0.0426</v>
      </c>
      <c r="O278" s="0" t="inlineStr">
        <is>
          <t>—</t>
        </is>
      </c>
    </row>
    <row r="279">
      <c r="A279" s="0" t="inlineStr">
        <is>
          <t>20260624</t>
        </is>
      </c>
      <c r="B279" s="0" t="inlineStr">
        <is>
          <t>科创50ETF</t>
        </is>
      </c>
      <c r="C279" s="0" t="inlineStr">
        <is>
          <t>588050</t>
        </is>
      </c>
      <c r="D279" s="0" t="n">
        <v>60000</v>
      </c>
      <c r="E279" s="0" t="n">
        <v>1.838</v>
      </c>
      <c r="F279" s="0" t="n">
        <v>110280</v>
      </c>
      <c r="G279" s="0" t="n">
        <v>2.037</v>
      </c>
      <c r="H279" s="0" t="n">
        <v>0.0366</v>
      </c>
      <c r="I279" s="0" t="n">
        <v>122220</v>
      </c>
      <c r="J279" s="0" t="n">
        <v>11940</v>
      </c>
      <c r="K279" s="0" t="n">
        <v>0.1083</v>
      </c>
      <c r="L279" s="0" t="n">
        <v>0.0625</v>
      </c>
      <c r="M279" s="0" t="n">
        <v>0.0368</v>
      </c>
      <c r="N279" s="0" t="n">
        <v>-0.0257</v>
      </c>
      <c r="O279" s="0" t="inlineStr">
        <is>
          <t>🟡止盈第二档：浮盈10.8% &gt;= 9%，减仓30%</t>
        </is>
      </c>
    </row>
    <row r="280">
      <c r="A280" s="0" t="inlineStr">
        <is>
          <t>20260624</t>
        </is>
      </c>
      <c r="B280" s="0" t="inlineStr">
        <is>
          <t>创业板ETF</t>
        </is>
      </c>
      <c r="C280" s="0" t="inlineStr">
        <is>
          <t>159915</t>
        </is>
      </c>
      <c r="D280" s="0" t="n">
        <v>63000</v>
      </c>
      <c r="E280" s="0" t="n">
        <v>3.968</v>
      </c>
      <c r="F280" s="0" t="n">
        <v>249984</v>
      </c>
      <c r="G280" s="0" t="n">
        <v>4.258</v>
      </c>
      <c r="H280" s="0" t="n">
        <v>0.0114</v>
      </c>
      <c r="I280" s="0" t="n">
        <v>268254</v>
      </c>
      <c r="J280" s="0" t="n">
        <v>18270</v>
      </c>
      <c r="K280" s="0" t="n">
        <v>0.0731</v>
      </c>
      <c r="L280" s="0" t="n">
        <v>0.0625</v>
      </c>
      <c r="M280" s="0" t="n">
        <v>0.0808</v>
      </c>
      <c r="N280" s="0" t="n">
        <v>0.0183</v>
      </c>
      <c r="O280" s="0" t="inlineStr">
        <is>
          <t>🟢止盈第一档：浮盈7.3% &gt;= 7%，减仓20%</t>
        </is>
      </c>
    </row>
    <row r="281">
      <c r="A281" s="0" t="inlineStr">
        <is>
          <t>20260624</t>
        </is>
      </c>
      <c r="B281" s="0" t="inlineStr">
        <is>
          <t>红利低波ETF</t>
        </is>
      </c>
      <c r="C281" s="0" t="inlineStr">
        <is>
          <t>512890</t>
        </is>
      </c>
      <c r="D281" s="0" t="n">
        <v>218000</v>
      </c>
      <c r="E281" s="0" t="n">
        <v>1.15</v>
      </c>
      <c r="F281" s="0" t="n">
        <v>250700</v>
      </c>
      <c r="G281" s="0" t="n">
        <v>1.099</v>
      </c>
      <c r="H281" s="0" t="n">
        <v>-0.017</v>
      </c>
      <c r="I281" s="0" t="n">
        <v>239582</v>
      </c>
      <c r="J281" s="0" t="n">
        <v>-11118</v>
      </c>
      <c r="K281" s="0" t="n">
        <v>-0.0443</v>
      </c>
      <c r="L281" s="0" t="n">
        <v>0.0625</v>
      </c>
      <c r="M281" s="0" t="n">
        <v>0.0722</v>
      </c>
      <c r="N281" s="0" t="n">
        <v>0.0097</v>
      </c>
      <c r="O281" s="0" t="inlineStr">
        <is>
          <t>—</t>
        </is>
      </c>
    </row>
    <row r="282">
      <c r="A282" s="0" t="inlineStr">
        <is>
          <t>20260624</t>
        </is>
      </c>
      <c r="B282" s="0" t="inlineStr">
        <is>
          <t>可转债ETF</t>
        </is>
      </c>
      <c r="C282" s="0" t="inlineStr">
        <is>
          <t>511380</t>
        </is>
      </c>
      <c r="D282" s="0" t="n">
        <v>14500</v>
      </c>
      <c r="E282" s="0" t="n">
        <v>13.8644</v>
      </c>
      <c r="F282" s="0" t="n">
        <v>201033.8</v>
      </c>
      <c r="G282" s="0" t="n">
        <v>13.987</v>
      </c>
      <c r="H282" s="0" t="n">
        <v>0.0039</v>
      </c>
      <c r="I282" s="0" t="n">
        <v>202811.5</v>
      </c>
      <c r="J282" s="0" t="n">
        <v>1777.7</v>
      </c>
      <c r="K282" s="0" t="n">
        <v>0.008800000000000001</v>
      </c>
      <c r="L282" s="0" t="n">
        <v>0.125</v>
      </c>
      <c r="M282" s="0" t="n">
        <v>0.0611</v>
      </c>
      <c r="N282" s="0" t="n">
        <v>-0.0639</v>
      </c>
      <c r="O282" s="0" t="inlineStr">
        <is>
          <t>—</t>
        </is>
      </c>
    </row>
    <row r="283">
      <c r="A283" s="0" t="inlineStr">
        <is>
          <t>20260624</t>
        </is>
      </c>
      <c r="B283" s="0" t="inlineStr">
        <is>
          <t>10年国债ETF</t>
        </is>
      </c>
      <c r="C283" s="0" t="inlineStr">
        <is>
          <t>511260</t>
        </is>
      </c>
      <c r="D283" s="0" t="n">
        <v>3700</v>
      </c>
      <c r="E283" s="0" t="n">
        <v>135.645</v>
      </c>
      <c r="F283" s="0" t="n">
        <v>501886.5</v>
      </c>
      <c r="G283" s="0" t="n">
        <v>135.912</v>
      </c>
      <c r="H283" s="0" t="n">
        <v>0.0009</v>
      </c>
      <c r="I283" s="0" t="n">
        <v>502874.4</v>
      </c>
      <c r="J283" s="0" t="n">
        <v>987.9</v>
      </c>
      <c r="K283" s="0" t="n">
        <v>0.002</v>
      </c>
      <c r="L283" s="0" t="n">
        <v>0.125</v>
      </c>
      <c r="M283" s="0" t="n">
        <v>0.1515</v>
      </c>
      <c r="N283" s="0" t="n">
        <v>0.0265</v>
      </c>
      <c r="O283" s="0" t="inlineStr">
        <is>
          <t>—</t>
        </is>
      </c>
    </row>
    <row r="284">
      <c r="A284" s="0" t="inlineStr">
        <is>
          <t>20260624</t>
        </is>
      </c>
      <c r="B284" s="0" t="inlineStr">
        <is>
          <t>5年国债ETF</t>
        </is>
      </c>
      <c r="C284" s="0" t="inlineStr">
        <is>
          <t>511010</t>
        </is>
      </c>
      <c r="D284" s="0" t="n">
        <v>3500</v>
      </c>
      <c r="E284" s="0" t="n">
        <v>141.2121</v>
      </c>
      <c r="F284" s="0" t="n">
        <v>494242.35</v>
      </c>
      <c r="G284" s="0" t="n">
        <v>141.433</v>
      </c>
      <c r="H284" s="0" t="n">
        <v>0.0004</v>
      </c>
      <c r="I284" s="0" t="n">
        <v>495015.5</v>
      </c>
      <c r="J284" s="0" t="n">
        <v>773.15</v>
      </c>
      <c r="K284" s="0" t="n">
        <v>0.0016</v>
      </c>
      <c r="L284" s="0" t="n">
        <v>0.125</v>
      </c>
      <c r="M284" s="0" t="n">
        <v>0.1491</v>
      </c>
      <c r="N284" s="0" t="n">
        <v>0.0241</v>
      </c>
      <c r="O284" s="0" t="inlineStr">
        <is>
          <t>—</t>
        </is>
      </c>
    </row>
    <row r="285">
      <c r="A285" s="0" t="inlineStr">
        <is>
          <t>20260624</t>
        </is>
      </c>
      <c r="B285" s="0" t="inlineStr">
        <is>
          <t>短融ETF</t>
        </is>
      </c>
      <c r="C285" s="0" t="inlineStr">
        <is>
          <t>511360</t>
        </is>
      </c>
      <c r="D285" s="0" t="n">
        <v>2200</v>
      </c>
      <c r="E285" s="0" t="n">
        <v>113.462</v>
      </c>
      <c r="F285" s="0" t="n">
        <v>249616.4</v>
      </c>
      <c r="G285" s="0" t="n">
        <v>113.586</v>
      </c>
      <c r="H285" s="0" t="n">
        <v>-0.0002</v>
      </c>
      <c r="I285" s="0" t="n">
        <v>249889.2</v>
      </c>
      <c r="J285" s="0" t="n">
        <v>272.8</v>
      </c>
      <c r="K285" s="0" t="n">
        <v>0.0011</v>
      </c>
      <c r="L285" s="0" t="n">
        <v>0.0625</v>
      </c>
      <c r="M285" s="0" t="n">
        <v>0.07530000000000001</v>
      </c>
      <c r="N285" s="0" t="n">
        <v>0.0128</v>
      </c>
      <c r="O285" s="0" t="inlineStr">
        <is>
          <t>—</t>
        </is>
      </c>
    </row>
    <row r="286">
      <c r="A286" s="0" t="inlineStr">
        <is>
          <t>20260624</t>
        </is>
      </c>
      <c r="B286" s="0" t="inlineStr">
        <is>
          <t>黄金ETF</t>
        </is>
      </c>
      <c r="C286" s="0" t="inlineStr">
        <is>
          <t>518880</t>
        </is>
      </c>
      <c r="D286" s="0" t="n">
        <v>55800</v>
      </c>
      <c r="E286" s="0" t="n">
        <v>9.232699999999999</v>
      </c>
      <c r="F286" s="0" t="n">
        <v>515184.66</v>
      </c>
      <c r="G286" s="0" t="n">
        <v>8.515000000000001</v>
      </c>
      <c r="H286" s="0" t="n">
        <v>-0.0026</v>
      </c>
      <c r="I286" s="0" t="n">
        <v>475137</v>
      </c>
      <c r="J286" s="0" t="n">
        <v>-40047.66</v>
      </c>
      <c r="K286" s="0" t="n">
        <v>-0.07770000000000001</v>
      </c>
      <c r="L286" s="0" t="n">
        <v>0.1875</v>
      </c>
      <c r="M286" s="0" t="n">
        <v>0.1431</v>
      </c>
      <c r="N286" s="0" t="n">
        <v>-0.0444</v>
      </c>
      <c r="O286" s="0" t="inlineStr">
        <is>
          <t>—</t>
        </is>
      </c>
    </row>
    <row r="287">
      <c r="A287" s="0" t="inlineStr">
        <is>
          <t>20260625</t>
        </is>
      </c>
      <c r="B287" s="0" t="inlineStr">
        <is>
          <t>沪深300ETF</t>
        </is>
      </c>
      <c r="C287" s="0" t="inlineStr">
        <is>
          <t>510300</t>
        </is>
      </c>
      <c r="D287" s="0" t="n">
        <v>153800</v>
      </c>
      <c r="E287" s="0" t="n">
        <v>4.885</v>
      </c>
      <c r="F287" s="0" t="n">
        <v>751313</v>
      </c>
      <c r="G287" s="0" t="n">
        <v>5.048</v>
      </c>
      <c r="H287" s="0" t="n">
        <v>0.0163</v>
      </c>
      <c r="I287" s="0" t="n">
        <v>776382.4</v>
      </c>
      <c r="J287" s="0" t="n">
        <v>25069.4</v>
      </c>
      <c r="K287" s="0" t="n">
        <v>0.0334</v>
      </c>
      <c r="L287" s="0" t="n">
        <v>0.1875</v>
      </c>
      <c r="M287" s="0" t="n">
        <v>0.2292</v>
      </c>
      <c r="N287" s="0" t="n">
        <v>0.0417</v>
      </c>
      <c r="O287" s="0" t="inlineStr">
        <is>
          <t>—</t>
        </is>
      </c>
    </row>
    <row r="288">
      <c r="A288" s="0" t="inlineStr">
        <is>
          <t>20260625</t>
        </is>
      </c>
      <c r="B288" s="0" t="inlineStr">
        <is>
          <t>科创50ETF</t>
        </is>
      </c>
      <c r="C288" s="0" t="inlineStr">
        <is>
          <t>588050</t>
        </is>
      </c>
      <c r="D288" s="0" t="n">
        <v>60000</v>
      </c>
      <c r="E288" s="0" t="n">
        <v>1.838</v>
      </c>
      <c r="F288" s="0" t="n">
        <v>110280</v>
      </c>
      <c r="G288" s="0" t="n">
        <v>2.118</v>
      </c>
      <c r="H288" s="0" t="n">
        <v>0.0398</v>
      </c>
      <c r="I288" s="0" t="n">
        <v>127080</v>
      </c>
      <c r="J288" s="0" t="n">
        <v>16800</v>
      </c>
      <c r="K288" s="0" t="n">
        <v>0.1523</v>
      </c>
      <c r="L288" s="0" t="n">
        <v>0.0625</v>
      </c>
      <c r="M288" s="0" t="n">
        <v>0.0375</v>
      </c>
      <c r="N288" s="0" t="n">
        <v>-0.025</v>
      </c>
      <c r="O288" s="0" t="inlineStr">
        <is>
          <t>🔴止盈第三档：浮盈15.2% &gt;= 12%，清仓止盈</t>
        </is>
      </c>
    </row>
    <row r="289">
      <c r="A289" s="0" t="inlineStr">
        <is>
          <t>20260625</t>
        </is>
      </c>
      <c r="B289" s="0" t="inlineStr">
        <is>
          <t>创业板ETF</t>
        </is>
      </c>
      <c r="C289" s="0" t="inlineStr">
        <is>
          <t>159915</t>
        </is>
      </c>
      <c r="D289" s="0" t="n">
        <v>63000</v>
      </c>
      <c r="E289" s="0" t="n">
        <v>3.968</v>
      </c>
      <c r="F289" s="0" t="n">
        <v>249984</v>
      </c>
      <c r="G289" s="0" t="n">
        <v>4.395</v>
      </c>
      <c r="H289" s="0" t="n">
        <v>0.0322</v>
      </c>
      <c r="I289" s="0" t="n">
        <v>276885</v>
      </c>
      <c r="J289" s="0" t="n">
        <v>26901</v>
      </c>
      <c r="K289" s="0" t="n">
        <v>0.1076</v>
      </c>
      <c r="L289" s="0" t="n">
        <v>0.0625</v>
      </c>
      <c r="M289" s="0" t="n">
        <v>0.08169999999999999</v>
      </c>
      <c r="N289" s="0" t="n">
        <v>0.0192</v>
      </c>
      <c r="O289" s="0" t="inlineStr">
        <is>
          <t>🟡止盈第二档：浮盈10.8% &gt;= 9%，减仓30%</t>
        </is>
      </c>
    </row>
    <row r="290">
      <c r="A290" s="0" t="inlineStr">
        <is>
          <t>20260625</t>
        </is>
      </c>
      <c r="B290" s="0" t="inlineStr">
        <is>
          <t>红利低波ETF</t>
        </is>
      </c>
      <c r="C290" s="0" t="inlineStr">
        <is>
          <t>512890</t>
        </is>
      </c>
      <c r="D290" s="0" t="n">
        <v>218000</v>
      </c>
      <c r="E290" s="0" t="n">
        <v>1.15</v>
      </c>
      <c r="F290" s="0" t="n">
        <v>250700</v>
      </c>
      <c r="G290" s="0" t="n">
        <v>1.086</v>
      </c>
      <c r="H290" s="0" t="n">
        <v>-0.0118</v>
      </c>
      <c r="I290" s="0" t="n">
        <v>236748</v>
      </c>
      <c r="J290" s="0" t="n">
        <v>-13952</v>
      </c>
      <c r="K290" s="0" t="n">
        <v>-0.0557</v>
      </c>
      <c r="L290" s="0" t="n">
        <v>0.0625</v>
      </c>
      <c r="M290" s="0" t="n">
        <v>0.0699</v>
      </c>
      <c r="N290" s="0" t="n">
        <v>0.0074</v>
      </c>
      <c r="O290" s="0" t="inlineStr">
        <is>
          <t>—</t>
        </is>
      </c>
    </row>
    <row r="291">
      <c r="A291" s="0" t="inlineStr">
        <is>
          <t>20260625</t>
        </is>
      </c>
      <c r="B291" s="0" t="inlineStr">
        <is>
          <t>可转债ETF</t>
        </is>
      </c>
      <c r="C291" s="0" t="inlineStr">
        <is>
          <t>511380</t>
        </is>
      </c>
      <c r="D291" s="0" t="n">
        <v>14500</v>
      </c>
      <c r="E291" s="0" t="n">
        <v>13.8644</v>
      </c>
      <c r="F291" s="0" t="n">
        <v>201033.8</v>
      </c>
      <c r="G291" s="0" t="n">
        <v>13.892</v>
      </c>
      <c r="H291" s="0" t="n">
        <v>-0.0068</v>
      </c>
      <c r="I291" s="0" t="n">
        <v>201434</v>
      </c>
      <c r="J291" s="0" t="n">
        <v>400.2</v>
      </c>
      <c r="K291" s="0" t="n">
        <v>0.002</v>
      </c>
      <c r="L291" s="0" t="n">
        <v>0.125</v>
      </c>
      <c r="M291" s="0" t="n">
        <v>0.0595</v>
      </c>
      <c r="N291" s="0" t="n">
        <v>-0.0655</v>
      </c>
      <c r="O291" s="0" t="inlineStr">
        <is>
          <t>—</t>
        </is>
      </c>
    </row>
    <row r="292">
      <c r="A292" s="0" t="inlineStr">
        <is>
          <t>20260625</t>
        </is>
      </c>
      <c r="B292" s="0" t="inlineStr">
        <is>
          <t>10年国债ETF</t>
        </is>
      </c>
      <c r="C292" s="0" t="inlineStr">
        <is>
          <t>511260</t>
        </is>
      </c>
      <c r="D292" s="0" t="n">
        <v>3700</v>
      </c>
      <c r="E292" s="0" t="n">
        <v>135.645</v>
      </c>
      <c r="F292" s="0" t="n">
        <v>501886.5</v>
      </c>
      <c r="G292" s="0" t="n">
        <v>134.743</v>
      </c>
      <c r="H292" s="0" t="n">
        <v>0.0007</v>
      </c>
      <c r="I292" s="0" t="n">
        <v>498549.1</v>
      </c>
      <c r="J292" s="0" t="n">
        <v>-3337.4</v>
      </c>
      <c r="K292" s="0" t="n">
        <v>-0.0066</v>
      </c>
      <c r="L292" s="0" t="n">
        <v>0.125</v>
      </c>
      <c r="M292" s="0" t="n">
        <v>0.1472</v>
      </c>
      <c r="N292" s="0" t="n">
        <v>0.0222</v>
      </c>
      <c r="O292" s="0" t="inlineStr">
        <is>
          <t>—</t>
        </is>
      </c>
    </row>
    <row r="293">
      <c r="A293" s="0" t="inlineStr">
        <is>
          <t>20260625</t>
        </is>
      </c>
      <c r="B293" s="0" t="inlineStr">
        <is>
          <t>5年国债ETF</t>
        </is>
      </c>
      <c r="C293" s="0" t="inlineStr">
        <is>
          <t>511010</t>
        </is>
      </c>
      <c r="D293" s="0" t="n">
        <v>3500</v>
      </c>
      <c r="E293" s="0" t="n">
        <v>141.2121</v>
      </c>
      <c r="F293" s="0" t="n">
        <v>494242.35</v>
      </c>
      <c r="G293" s="0" t="n">
        <v>140.636</v>
      </c>
      <c r="H293" s="0" t="n">
        <v>0.0001</v>
      </c>
      <c r="I293" s="0" t="n">
        <v>492226</v>
      </c>
      <c r="J293" s="0" t="n">
        <v>-2016.35</v>
      </c>
      <c r="K293" s="0" t="n">
        <v>-0.0041</v>
      </c>
      <c r="L293" s="0" t="n">
        <v>0.125</v>
      </c>
      <c r="M293" s="0" t="n">
        <v>0.1453</v>
      </c>
      <c r="N293" s="0" t="n">
        <v>0.0203</v>
      </c>
      <c r="O293" s="0" t="inlineStr">
        <is>
          <t>—</t>
        </is>
      </c>
    </row>
    <row r="294">
      <c r="A294" s="0" t="inlineStr">
        <is>
          <t>20260625</t>
        </is>
      </c>
      <c r="B294" s="0" t="inlineStr">
        <is>
          <t>短融ETF</t>
        </is>
      </c>
      <c r="C294" s="0" t="inlineStr">
        <is>
          <t>511360</t>
        </is>
      </c>
      <c r="D294" s="0" t="n">
        <v>2200</v>
      </c>
      <c r="E294" s="0" t="n">
        <v>113.462</v>
      </c>
      <c r="F294" s="0" t="n">
        <v>249616.4</v>
      </c>
      <c r="G294" s="0" t="n">
        <v>113.586</v>
      </c>
      <c r="I294" s="0" t="n">
        <v>249889.2</v>
      </c>
      <c r="J294" s="0" t="n">
        <v>272.8</v>
      </c>
      <c r="K294" s="0" t="n">
        <v>0.0011</v>
      </c>
      <c r="L294" s="0" t="n">
        <v>0.0625</v>
      </c>
      <c r="M294" s="0" t="n">
        <v>0.0738</v>
      </c>
      <c r="N294" s="0" t="n">
        <v>0.0113</v>
      </c>
      <c r="O294" s="0" t="inlineStr">
        <is>
          <t>—</t>
        </is>
      </c>
    </row>
    <row r="295">
      <c r="A295" s="0" t="inlineStr">
        <is>
          <t>20260625</t>
        </is>
      </c>
      <c r="B295" s="0" t="inlineStr">
        <is>
          <t>黄金ETF</t>
        </is>
      </c>
      <c r="C295" s="0" t="inlineStr">
        <is>
          <t>518880</t>
        </is>
      </c>
      <c r="D295" s="0" t="n">
        <v>63800</v>
      </c>
      <c r="E295" s="0" t="n">
        <v>9.1196</v>
      </c>
      <c r="F295" s="0" t="n">
        <v>581830.48</v>
      </c>
      <c r="G295" s="0" t="n">
        <v>8.287000000000001</v>
      </c>
      <c r="H295" s="0" t="n">
        <v>-0.0268</v>
      </c>
      <c r="I295" s="0" t="n">
        <v>528710.6</v>
      </c>
      <c r="J295" s="0" t="n">
        <v>-53119.88</v>
      </c>
      <c r="K295" s="0" t="n">
        <v>-0.09130000000000001</v>
      </c>
      <c r="L295" s="0" t="n">
        <v>0.1875</v>
      </c>
      <c r="M295" s="0" t="n">
        <v>0.1561</v>
      </c>
      <c r="N295" s="0" t="n">
        <v>-0.0314</v>
      </c>
      <c r="O295" s="0" t="inlineStr">
        <is>
          <t>—</t>
        </is>
      </c>
    </row>
    <row r="296">
      <c r="A296" t="inlineStr">
        <is>
          <t>20260626</t>
        </is>
      </c>
      <c r="B296" t="inlineStr">
        <is>
          <t>沪深300ETF</t>
        </is>
      </c>
      <c r="C296" t="inlineStr">
        <is>
          <t>510300</t>
        </is>
      </c>
      <c r="D296" t="n">
        <v>153800</v>
      </c>
      <c r="E296" t="n">
        <v>4.885</v>
      </c>
      <c r="F296" t="n">
        <v>751313</v>
      </c>
      <c r="G296" t="n">
        <v>4.907</v>
      </c>
      <c r="H296" t="n">
        <v>-0.0279</v>
      </c>
      <c r="I296" t="n">
        <v>754696.6</v>
      </c>
      <c r="J296" t="n">
        <v>3383.6</v>
      </c>
      <c r="K296" t="n">
        <v>0.0045</v>
      </c>
      <c r="L296" t="n">
        <v>0.1875</v>
      </c>
      <c r="M296" t="n">
        <v>0.2248</v>
      </c>
      <c r="N296" t="n">
        <v>0.0373</v>
      </c>
      <c r="O296" t="inlineStr">
        <is>
          <t>—</t>
        </is>
      </c>
    </row>
    <row r="297">
      <c r="A297" t="inlineStr">
        <is>
          <t>20260626</t>
        </is>
      </c>
      <c r="B297" t="inlineStr">
        <is>
          <t>科创50ETF</t>
        </is>
      </c>
      <c r="C297" t="inlineStr">
        <is>
          <t>588050</t>
        </is>
      </c>
      <c r="D297" t="n">
        <v>60000</v>
      </c>
      <c r="E297" t="n">
        <v>1.838</v>
      </c>
      <c r="F297" t="n">
        <v>110280</v>
      </c>
      <c r="G297" t="n">
        <v>2.077</v>
      </c>
      <c r="H297" t="n">
        <v>-0.0194</v>
      </c>
      <c r="I297" t="n">
        <v>124620</v>
      </c>
      <c r="J297" t="n">
        <v>14340</v>
      </c>
      <c r="K297" t="n">
        <v>0.13</v>
      </c>
      <c r="L297" t="n">
        <v>0.0625</v>
      </c>
      <c r="M297" t="n">
        <v>0.0371</v>
      </c>
      <c r="N297" t="n">
        <v>-0.0254</v>
      </c>
      <c r="O297" t="inlineStr">
        <is>
          <t>—</t>
        </is>
      </c>
    </row>
    <row r="298">
      <c r="A298" t="inlineStr">
        <is>
          <t>20260626</t>
        </is>
      </c>
      <c r="B298" t="inlineStr">
        <is>
          <t>创业板ETF</t>
        </is>
      </c>
      <c r="C298" t="inlineStr">
        <is>
          <t>159915</t>
        </is>
      </c>
      <c r="D298" t="n">
        <v>63000</v>
      </c>
      <c r="E298" t="n">
        <v>3.968</v>
      </c>
      <c r="F298" t="n">
        <v>249984</v>
      </c>
      <c r="G298" t="n">
        <v>4.215</v>
      </c>
      <c r="H298" t="n">
        <v>-0.041</v>
      </c>
      <c r="I298" t="n">
        <v>265545</v>
      </c>
      <c r="J298" t="n">
        <v>15561</v>
      </c>
      <c r="K298" t="n">
        <v>0.0622</v>
      </c>
      <c r="L298" t="n">
        <v>0.0625</v>
      </c>
      <c r="M298" t="n">
        <v>0.0791</v>
      </c>
      <c r="N298" t="n">
        <v>0.0166</v>
      </c>
      <c r="O298" t="inlineStr">
        <is>
          <t>—</t>
        </is>
      </c>
    </row>
    <row r="299">
      <c r="A299" t="inlineStr">
        <is>
          <t>20260626</t>
        </is>
      </c>
      <c r="B299" t="inlineStr">
        <is>
          <t>红利低波ETF</t>
        </is>
      </c>
      <c r="C299" t="inlineStr">
        <is>
          <t>512890</t>
        </is>
      </c>
      <c r="D299" t="n">
        <v>218000</v>
      </c>
      <c r="E299" t="n">
        <v>1.15</v>
      </c>
      <c r="F299" t="n">
        <v>250700</v>
      </c>
      <c r="G299" t="n">
        <v>1.081</v>
      </c>
      <c r="H299" t="n">
        <v>-0.0046</v>
      </c>
      <c r="I299" t="n">
        <v>235658</v>
      </c>
      <c r="J299" t="n">
        <v>-15042</v>
      </c>
      <c r="K299" t="n">
        <v>-0.06</v>
      </c>
      <c r="L299" t="n">
        <v>0.0625</v>
      </c>
      <c r="M299" t="n">
        <v>0.0702</v>
      </c>
      <c r="N299" t="n">
        <v>0.0077</v>
      </c>
      <c r="O299" t="inlineStr">
        <is>
          <t>—</t>
        </is>
      </c>
    </row>
    <row r="300">
      <c r="A300" t="inlineStr">
        <is>
          <t>20260626</t>
        </is>
      </c>
      <c r="B300" t="inlineStr">
        <is>
          <t>可转债ETF</t>
        </is>
      </c>
      <c r="C300" t="inlineStr">
        <is>
          <t>511380</t>
        </is>
      </c>
      <c r="D300" t="n">
        <v>14500</v>
      </c>
      <c r="E300" t="n">
        <v>13.8644</v>
      </c>
      <c r="F300" t="n">
        <v>201033.8</v>
      </c>
      <c r="G300" t="n">
        <v>13.792</v>
      </c>
      <c r="H300" t="n">
        <v>-0.0072</v>
      </c>
      <c r="I300" t="n">
        <v>199984</v>
      </c>
      <c r="J300" t="n">
        <v>-1049.8</v>
      </c>
      <c r="K300" t="n">
        <v>-0.0052</v>
      </c>
      <c r="L300" t="n">
        <v>0.125</v>
      </c>
      <c r="M300" t="n">
        <v>0.0596</v>
      </c>
      <c r="N300" t="n">
        <v>-0.0654</v>
      </c>
      <c r="O300" t="inlineStr">
        <is>
          <t>—</t>
        </is>
      </c>
    </row>
    <row r="301">
      <c r="A301" t="inlineStr">
        <is>
          <t>20260626</t>
        </is>
      </c>
      <c r="B301" t="inlineStr">
        <is>
          <t>10年国债ETF</t>
        </is>
      </c>
      <c r="C301" t="inlineStr">
        <is>
          <t>511260</t>
        </is>
      </c>
      <c r="D301" t="n">
        <v>3700</v>
      </c>
      <c r="E301" t="n">
        <v>135.645</v>
      </c>
      <c r="F301" t="n">
        <v>501886.5</v>
      </c>
      <c r="G301" t="n">
        <v>134.796</v>
      </c>
      <c r="H301" t="n">
        <v>0.0004</v>
      </c>
      <c r="I301" t="n">
        <v>498745.2</v>
      </c>
      <c r="J301" t="n">
        <v>-3141.3</v>
      </c>
      <c r="K301" t="n">
        <v>-0.0063</v>
      </c>
      <c r="L301" t="n">
        <v>0.125</v>
      </c>
      <c r="M301" t="n">
        <v>0.1486</v>
      </c>
      <c r="N301" t="n">
        <v>0.0236</v>
      </c>
      <c r="O301" t="inlineStr">
        <is>
          <t>—</t>
        </is>
      </c>
    </row>
    <row r="302">
      <c r="A302" t="inlineStr">
        <is>
          <t>20260626</t>
        </is>
      </c>
      <c r="B302" t="inlineStr">
        <is>
          <t>5年国债ETF</t>
        </is>
      </c>
      <c r="C302" t="inlineStr">
        <is>
          <t>511010</t>
        </is>
      </c>
      <c r="D302" t="n">
        <v>3500</v>
      </c>
      <c r="E302" t="n">
        <v>141.2121</v>
      </c>
      <c r="F302" t="n">
        <v>494242.35</v>
      </c>
      <c r="G302" t="n">
        <v>140.721</v>
      </c>
      <c r="H302" t="n">
        <v>0.0005999999999999999</v>
      </c>
      <c r="I302" t="n">
        <v>492523.5</v>
      </c>
      <c r="J302" t="n">
        <v>-1718.85</v>
      </c>
      <c r="K302" t="n">
        <v>-0.0035</v>
      </c>
      <c r="L302" t="n">
        <v>0.125</v>
      </c>
      <c r="M302" t="n">
        <v>0.1467</v>
      </c>
      <c r="N302" t="n">
        <v>0.0217</v>
      </c>
      <c r="O302" t="inlineStr">
        <is>
          <t>—</t>
        </is>
      </c>
    </row>
    <row r="303">
      <c r="A303" t="inlineStr">
        <is>
          <t>20260626</t>
        </is>
      </c>
      <c r="B303" t="inlineStr">
        <is>
          <t>短融ETF</t>
        </is>
      </c>
      <c r="C303" t="inlineStr">
        <is>
          <t>511360</t>
        </is>
      </c>
      <c r="D303" t="n">
        <v>2200</v>
      </c>
      <c r="E303" t="n">
        <v>113.462</v>
      </c>
      <c r="F303" t="n">
        <v>249616.4</v>
      </c>
      <c r="G303" t="n">
        <v>113.596</v>
      </c>
      <c r="H303" t="n">
        <v>0.0001</v>
      </c>
      <c r="I303" t="n">
        <v>249911.2</v>
      </c>
      <c r="J303" t="n">
        <v>294.8</v>
      </c>
      <c r="K303" t="n">
        <v>0.0012</v>
      </c>
      <c r="L303" t="n">
        <v>0.0625</v>
      </c>
      <c r="M303" t="n">
        <v>0.07439999999999999</v>
      </c>
      <c r="N303" t="n">
        <v>0.0119</v>
      </c>
      <c r="O303" t="inlineStr">
        <is>
          <t>—</t>
        </is>
      </c>
    </row>
    <row r="304">
      <c r="A304" t="inlineStr">
        <is>
          <t>20260626</t>
        </is>
      </c>
      <c r="B304" t="inlineStr">
        <is>
          <t>黄金ETF</t>
        </is>
      </c>
      <c r="C304" t="inlineStr">
        <is>
          <t>518880</t>
        </is>
      </c>
      <c r="D304" t="n">
        <v>63800</v>
      </c>
      <c r="E304" t="n">
        <v>9.1196</v>
      </c>
      <c r="F304" t="n">
        <v>581830.48</v>
      </c>
      <c r="G304" t="n">
        <v>8.390000000000001</v>
      </c>
      <c r="H304" t="n">
        <v>0.0124</v>
      </c>
      <c r="I304" t="n">
        <v>535282</v>
      </c>
      <c r="J304" t="n">
        <v>-46548.48</v>
      </c>
      <c r="K304" t="n">
        <v>-0.08</v>
      </c>
      <c r="L304" t="n">
        <v>0.1875</v>
      </c>
      <c r="M304" t="n">
        <v>0.1595</v>
      </c>
      <c r="N304" t="n">
        <v>-0.028</v>
      </c>
      <c r="O30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65004</dc:creator>
  <dcterms:created xmlns:dcterms="http://purl.org/dc/terms/" xmlns:xsi="http://www.w3.org/2001/XMLSchema-instance" xsi:type="dcterms:W3CDTF">2026-05-17T17:55:00Z</dcterms:created>
  <dcterms:modified xmlns:dcterms="http://purl.org/dc/terms/" xmlns:xsi="http://www.w3.org/2001/XMLSchema-instance" xsi:type="dcterms:W3CDTF">2026-06-26T19:01:17Z</dcterms:modified>
  <cp:lastModifiedBy>王堅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56193DD5E53642A78178CF55E8B5268D_11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