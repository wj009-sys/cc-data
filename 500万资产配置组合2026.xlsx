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3" autoFilterDateGrouping="1"/>
  </bookViews>
  <sheets>
    <sheet xmlns:r="http://schemas.openxmlformats.org/officeDocument/2006/relationships" name="投资纪要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流水" sheetId="3" state="visible" r:id="rId3"/>
    <sheet xmlns:r="http://schemas.openxmlformats.org/officeDocument/2006/relationships" name="日报" sheetId="4" state="visible" r:id="rId4"/>
  </sheets>
  <definedNames>
    <definedName name="_xlnm._FilterDatabase" localSheetId="2" hidden="1">'流水'!$A$1:$F$24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yyyy/m/d;@"/>
    <numFmt numFmtId="165" formatCode="_ * #,##0.000_ ;_ * \-#,##0.000_ ;_ * &quot;-&quot;??.00_ ;_ @_ "/>
    <numFmt numFmtId="166" formatCode="_ * #,##0_ ;_ * \-#,##0_ ;_ * &quot;-&quot;??_ ;_ @_ "/>
    <numFmt numFmtId="167" formatCode="_ * #,##0.00_ ;_ * \-#,##0.00_ ;_ * &quot;-&quot;??_ ;_ @_ "/>
    <numFmt numFmtId="168" formatCode="[$-409]yyyy\-mm\-dd;@"/>
    <numFmt numFmtId="169" formatCode="_ * #,##0.000_ ;_ * \-#,##0.000_ ;_ * &quot;-&quot;??.0_ ;_ @_ "/>
    <numFmt numFmtId="170" formatCode="0.0000%"/>
    <numFmt numFmtId="171" formatCode="0.000%"/>
    <numFmt numFmtId="172" formatCode="0.0000"/>
    <numFmt numFmtId="173" formatCode="_ * #,##0.00_ ;_ * \-#,##0.00_ ;_ * &quot;-&quot;??.00_ ;_ @_ "/>
  </numFmts>
  <fonts count="29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0000"/>
      <sz val="11"/>
    </font>
    <font>
      <name val="微软雅黑"/>
      <charset val="134"/>
      <b val="1"/>
      <sz val="14"/>
    </font>
    <font>
      <name val="微软雅黑"/>
      <charset val="134"/>
      <b val="1"/>
      <sz val="12"/>
    </font>
    <font>
      <name val="微软雅黑"/>
      <charset val="134"/>
      <i val="1"/>
      <sz val="9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微软雅黑"/>
      <charset val="134"/>
      <color rgb="FFCC0000"/>
      <sz val="9"/>
    </font>
    <font>
      <name val="微软雅黑"/>
      <charset val="134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2F5496"/>
        <bgColor rgb="FF2F549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5" borderId="2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3" applyAlignment="1">
      <alignment vertical="center"/>
    </xf>
    <xf numFmtId="0" fontId="16" fillId="0" borderId="3" applyAlignment="1">
      <alignment vertical="center"/>
    </xf>
    <xf numFmtId="0" fontId="17" fillId="0" borderId="4" applyAlignment="1">
      <alignment vertical="center"/>
    </xf>
    <xf numFmtId="0" fontId="17" fillId="0" borderId="0" applyAlignment="1">
      <alignment vertical="center"/>
    </xf>
    <xf numFmtId="0" fontId="18" fillId="6" borderId="5" applyAlignment="1">
      <alignment vertical="center"/>
    </xf>
    <xf numFmtId="0" fontId="19" fillId="7" borderId="6" applyAlignment="1">
      <alignment vertical="center"/>
    </xf>
    <xf numFmtId="0" fontId="20" fillId="7" borderId="5" applyAlignment="1">
      <alignment vertical="center"/>
    </xf>
    <xf numFmtId="0" fontId="21" fillId="8" borderId="7" applyAlignment="1">
      <alignment vertical="center"/>
    </xf>
    <xf numFmtId="0" fontId="22" fillId="0" borderId="8" applyAlignment="1">
      <alignment vertical="center"/>
    </xf>
    <xf numFmtId="0" fontId="23" fillId="0" borderId="9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8" fillId="14" borderId="0" applyAlignment="1">
      <alignment vertical="center"/>
    </xf>
    <xf numFmtId="0" fontId="27" fillId="15" borderId="0" applyAlignment="1">
      <alignment vertical="center"/>
    </xf>
    <xf numFmtId="0" fontId="27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7" fillId="19" borderId="0" applyAlignment="1">
      <alignment vertical="center"/>
    </xf>
    <xf numFmtId="0" fontId="27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7" fillId="23" borderId="0" applyAlignment="1">
      <alignment vertical="center"/>
    </xf>
    <xf numFmtId="0" fontId="27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7" fillId="27" borderId="0" applyAlignment="1">
      <alignment vertical="center"/>
    </xf>
    <xf numFmtId="0" fontId="27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7" fillId="31" borderId="0" applyAlignment="1">
      <alignment vertical="center"/>
    </xf>
    <xf numFmtId="0" fontId="27" fillId="32" borderId="0" applyAlignment="1">
      <alignment vertical="center"/>
    </xf>
    <xf numFmtId="0" fontId="28" fillId="33" borderId="0" applyAlignment="1">
      <alignment vertical="center"/>
    </xf>
    <xf numFmtId="0" fontId="28" fillId="34" borderId="0" applyAlignment="1">
      <alignment vertical="center"/>
    </xf>
    <xf numFmtId="0" fontId="27" fillId="35" borderId="0" applyAlignment="1">
      <alignment vertical="center"/>
    </xf>
  </cellStyleXfs>
  <cellXfs count="8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pivotButton="0" quotePrefix="0" xfId="0"/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168" fontId="0" fillId="0" borderId="1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70" fontId="0" fillId="0" borderId="0" applyAlignment="1" pivotButton="0" quotePrefix="0" xfId="3">
      <alignment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169" fontId="1" fillId="0" borderId="1" applyAlignment="1" pivotButton="0" quotePrefix="0" xfId="0">
      <alignment horizontal="center" vertical="center" wrapText="1"/>
    </xf>
    <xf numFmtId="166" fontId="1" fillId="0" borderId="1" applyAlignment="1" pivotButton="0" quotePrefix="0" xfId="0">
      <alignment horizontal="center" vertical="center" wrapText="1"/>
    </xf>
    <xf numFmtId="167" fontId="1" fillId="0" borderId="1" applyAlignment="1" pivotButton="0" quotePrefix="0" xfId="0">
      <alignment horizontal="left" vertical="center" wrapText="1"/>
    </xf>
    <xf numFmtId="170" fontId="0" fillId="0" borderId="1" applyAlignment="1" pivotButton="0" quotePrefix="0" xfId="3">
      <alignment vertical="center"/>
    </xf>
    <xf numFmtId="0" fontId="0" fillId="2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/>
    </xf>
    <xf numFmtId="167" fontId="0" fillId="2" borderId="1" applyAlignment="1" pivotButton="0" quotePrefix="0" xfId="0">
      <alignment vertical="center" wrapText="1"/>
    </xf>
    <xf numFmtId="167" fontId="2" fillId="2" borderId="1" applyAlignment="1" pivotButton="0" quotePrefix="0" xfId="0">
      <alignment horizontal="center" vertical="center" wrapText="1"/>
    </xf>
    <xf numFmtId="9" fontId="2" fillId="2" borderId="1" applyAlignment="1" pivotButton="0" quotePrefix="0" xfId="0">
      <alignment horizontal="center" vertical="center" wrapText="1"/>
    </xf>
    <xf numFmtId="171" fontId="0" fillId="2" borderId="1" applyAlignment="1" pivotButton="0" quotePrefix="0" xfId="3">
      <alignment vertical="center"/>
    </xf>
    <xf numFmtId="172" fontId="0" fillId="2" borderId="1" applyAlignment="1" pivotButton="0" quotePrefix="0" xfId="0">
      <alignment vertical="center"/>
    </xf>
    <xf numFmtId="166" fontId="0" fillId="2" borderId="1" applyAlignment="1" pivotButton="0" quotePrefix="0" xfId="0">
      <alignment vertical="center"/>
    </xf>
    <xf numFmtId="167" fontId="0" fillId="2" borderId="1" applyAlignment="1" pivotButton="0" quotePrefix="0" xfId="0">
      <alignment vertical="center"/>
    </xf>
    <xf numFmtId="169" fontId="0" fillId="2" borderId="1" applyAlignment="1" pivotButton="0" quotePrefix="0" xfId="0">
      <alignment vertical="center"/>
    </xf>
    <xf numFmtId="167" fontId="0" fillId="2" borderId="1" applyAlignment="1" pivotButton="0" quotePrefix="0" xfId="3">
      <alignment vertical="center"/>
    </xf>
    <xf numFmtId="170" fontId="0" fillId="2" borderId="1" applyAlignment="1" pivotButton="0" quotePrefix="0" xfId="3">
      <alignment vertical="center"/>
    </xf>
    <xf numFmtId="167" fontId="0" fillId="0" borderId="1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167" fontId="2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171" fontId="0" fillId="0" borderId="1" applyAlignment="1" pivotButton="0" quotePrefix="0" xfId="3">
      <alignment vertical="center"/>
    </xf>
    <xf numFmtId="169" fontId="0" fillId="0" borderId="1" applyAlignment="1" pivotButton="0" quotePrefix="0" xfId="0">
      <alignment vertical="center"/>
    </xf>
    <xf numFmtId="169" fontId="0" fillId="3" borderId="1" applyAlignment="1" pivotButton="0" quotePrefix="0" xfId="0">
      <alignment vertical="center"/>
    </xf>
    <xf numFmtId="167" fontId="0" fillId="0" borderId="1" applyAlignment="1" pivotButton="0" quotePrefix="0" xfId="3">
      <alignment vertical="center"/>
    </xf>
    <xf numFmtId="172" fontId="0" fillId="0" borderId="1" applyAlignment="1" pivotButton="0" quotePrefix="0" xfId="0">
      <alignment vertical="center"/>
    </xf>
    <xf numFmtId="173" fontId="0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1" pivotButton="0" quotePrefix="0" xfId="0"/>
    <xf numFmtId="0" fontId="7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165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70" fontId="0" fillId="0" borderId="0" applyAlignment="1" pivotButton="0" quotePrefix="0" xfId="3">
      <alignment vertical="center"/>
    </xf>
    <xf numFmtId="169" fontId="1" fillId="0" borderId="1" applyAlignment="1" pivotButton="0" quotePrefix="0" xfId="0">
      <alignment horizontal="center" vertical="center" wrapText="1"/>
    </xf>
    <xf numFmtId="166" fontId="1" fillId="0" borderId="1" applyAlignment="1" pivotButton="0" quotePrefix="0" xfId="0">
      <alignment horizontal="center" vertical="center" wrapText="1"/>
    </xf>
    <xf numFmtId="167" fontId="1" fillId="0" borderId="1" applyAlignment="1" pivotButton="0" quotePrefix="0" xfId="0">
      <alignment horizontal="left" vertical="center" wrapText="1"/>
    </xf>
    <xf numFmtId="170" fontId="0" fillId="0" borderId="1" applyAlignment="1" pivotButton="0" quotePrefix="0" xfId="3">
      <alignment vertical="center"/>
    </xf>
    <xf numFmtId="167" fontId="0" fillId="2" borderId="1" applyAlignment="1" pivotButton="0" quotePrefix="0" xfId="0">
      <alignment vertical="center" wrapText="1"/>
    </xf>
    <xf numFmtId="167" fontId="2" fillId="2" borderId="1" applyAlignment="1" pivotButton="0" quotePrefix="0" xfId="0">
      <alignment horizontal="center" vertical="center" wrapText="1"/>
    </xf>
    <xf numFmtId="171" fontId="0" fillId="2" borderId="1" applyAlignment="1" pivotButton="0" quotePrefix="0" xfId="3">
      <alignment vertical="center"/>
    </xf>
    <xf numFmtId="172" fontId="0" fillId="2" borderId="1" applyAlignment="1" pivotButton="0" quotePrefix="0" xfId="0">
      <alignment vertical="center"/>
    </xf>
    <xf numFmtId="166" fontId="0" fillId="2" borderId="1" applyAlignment="1" pivotButton="0" quotePrefix="0" xfId="0">
      <alignment vertical="center"/>
    </xf>
    <xf numFmtId="167" fontId="0" fillId="2" borderId="1" applyAlignment="1" pivotButton="0" quotePrefix="0" xfId="0">
      <alignment vertical="center"/>
    </xf>
    <xf numFmtId="169" fontId="0" fillId="2" borderId="1" applyAlignment="1" pivotButton="0" quotePrefix="0" xfId="0">
      <alignment vertical="center"/>
    </xf>
    <xf numFmtId="167" fontId="0" fillId="2" borderId="1" applyAlignment="1" pivotButton="0" quotePrefix="0" xfId="3">
      <alignment vertical="center"/>
    </xf>
    <xf numFmtId="170" fontId="0" fillId="2" borderId="1" applyAlignment="1" pivotButton="0" quotePrefix="0" xfId="3">
      <alignment vertical="center"/>
    </xf>
    <xf numFmtId="167" fontId="0" fillId="0" borderId="1" pivotButton="0" quotePrefix="0" xfId="0"/>
    <xf numFmtId="167" fontId="0" fillId="0" borderId="1" applyAlignment="1" pivotButton="0" quotePrefix="0" xfId="0">
      <alignment vertical="center" wrapText="1"/>
    </xf>
    <xf numFmtId="167" fontId="2" fillId="0" borderId="1" applyAlignment="1" pivotButton="0" quotePrefix="0" xfId="0">
      <alignment horizontal="center" vertical="center" wrapText="1"/>
    </xf>
    <xf numFmtId="171" fontId="0" fillId="0" borderId="1" applyAlignment="1" pivotButton="0" quotePrefix="0" xfId="3">
      <alignment vertical="center"/>
    </xf>
    <xf numFmtId="169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169" fontId="0" fillId="3" borderId="1" applyAlignment="1" pivotButton="0" quotePrefix="0" xfId="0">
      <alignment vertical="center"/>
    </xf>
    <xf numFmtId="167" fontId="0" fillId="0" borderId="1" applyAlignment="1" pivotButton="0" quotePrefix="0" xfId="3">
      <alignment vertical="center"/>
    </xf>
    <xf numFmtId="172" fontId="0" fillId="0" borderId="1" applyAlignment="1" pivotButton="0" quotePrefix="0" xfId="0">
      <alignment vertical="center"/>
    </xf>
    <xf numFmtId="173" fontId="0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8" fontId="0" fillId="0" borderId="1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topLeftCell="A36" workbookViewId="0">
      <selection activeCell="A1" sqref="A1:E1"/>
    </sheetView>
  </sheetViews>
  <sheetFormatPr baseColWidth="8" defaultColWidth="9" defaultRowHeight="14.4"/>
  <cols>
    <col width="18" customWidth="1" style="1" min="1" max="1"/>
    <col width="30" customWidth="1" style="1" min="2" max="2"/>
    <col width="35" customWidth="1" style="1" min="3" max="3"/>
    <col width="25" customWidth="1" style="1" min="4" max="4"/>
    <col width="35" customWidth="1" style="1" min="5" max="5"/>
  </cols>
  <sheetData>
    <row r="1" ht="20" customHeight="1" s="1">
      <c r="A1" s="46" t="inlineStr">
        <is>
          <t>500万资产配置 -- 投资纪律速查（优化版 2026-05-21）</t>
        </is>
      </c>
    </row>
    <row r="3" ht="16.5" customHeight="1" s="1">
      <c r="A3" s="47" t="inlineStr">
        <is>
          <t>一、统一阶梯止盈（7%/9%/12% 三档）</t>
        </is>
      </c>
    </row>
    <row r="4">
      <c r="A4" s="48" t="inlineStr">
        <is>
          <t>适用：510300/510500/588050/159915/512890/511380/518880 | 不适用：债底/现金</t>
        </is>
      </c>
    </row>
    <row r="5" ht="14.5" customHeight="1" s="1">
      <c r="A5" s="49" t="inlineStr">
        <is>
          <t>档位</t>
        </is>
      </c>
      <c r="B5" s="49" t="inlineStr">
        <is>
          <t>浮盈阈值</t>
        </is>
      </c>
      <c r="C5" s="49" t="inlineStr">
        <is>
          <t>触发条件</t>
        </is>
      </c>
      <c r="D5" s="49" t="inlineStr">
        <is>
          <t>减仓比例</t>
        </is>
      </c>
      <c r="E5" s="49" t="inlineStr">
        <is>
          <t>锁定规则</t>
        </is>
      </c>
    </row>
    <row r="6" ht="14.5" customHeight="1" s="1">
      <c r="A6" s="50" t="inlineStr">
        <is>
          <t>第一档</t>
        </is>
      </c>
      <c r="B6" s="50" t="inlineStr">
        <is>
          <t>&gt;= +7%</t>
        </is>
      </c>
      <c r="C6" s="50" t="inlineStr">
        <is>
          <t>成本价 x 1.07</t>
        </is>
      </c>
      <c r="D6" s="50" t="inlineStr">
        <is>
          <t>20%</t>
        </is>
      </c>
      <c r="E6" s="50" t="inlineStr">
        <is>
          <t>每档仅触发一次，标记[已兑现]</t>
        </is>
      </c>
    </row>
    <row r="7" ht="14.5" customHeight="1" s="1">
      <c r="A7" s="50" t="inlineStr">
        <is>
          <t>第二档</t>
        </is>
      </c>
      <c r="B7" s="50" t="inlineStr">
        <is>
          <t>&gt;= +9%</t>
        </is>
      </c>
      <c r="C7" s="50" t="inlineStr">
        <is>
          <t>成本价 x 1.09</t>
        </is>
      </c>
      <c r="D7" s="50" t="inlineStr">
        <is>
          <t>30%</t>
        </is>
      </c>
      <c r="E7" s="50" t="inlineStr">
        <is>
          <t>累计已减 50%</t>
        </is>
      </c>
    </row>
    <row r="8" ht="14.5" customHeight="1" s="1">
      <c r="A8" s="50" t="inlineStr">
        <is>
          <t>第三档</t>
        </is>
      </c>
      <c r="B8" s="50" t="inlineStr">
        <is>
          <t>&gt;= +12%</t>
        </is>
      </c>
      <c r="C8" s="50" t="inlineStr">
        <is>
          <t>成本价 x 1.12</t>
        </is>
      </c>
      <c r="D8" s="50" t="inlineStr">
        <is>
          <t>剩余全部 100%</t>
        </is>
      </c>
      <c r="E8" s="50" t="inlineStr">
        <is>
          <t>清仓止盈，本轮交易结束</t>
        </is>
      </c>
    </row>
    <row r="10">
      <c r="A10" s="51" t="inlineStr">
        <is>
          <t>[新增] 止盈资金须2个交易日内再配置，优先补给低仓位资产或买入511880/511990</t>
        </is>
      </c>
    </row>
    <row r="12" ht="16.5" customHeight="1" s="1">
      <c r="A12" s="47" t="inlineStr">
        <is>
          <t>二、高波动品种硬止损（科创50/创业板专用）</t>
        </is>
      </c>
    </row>
    <row r="13" ht="14.5" customHeight="1" s="1">
      <c r="A13" s="49" t="inlineStr">
        <is>
          <t>档位</t>
        </is>
      </c>
      <c r="B13" s="49" t="inlineStr">
        <is>
          <t>浮亏阈值</t>
        </is>
      </c>
      <c r="C13" s="49" t="inlineStr">
        <is>
          <t>次日执行动作</t>
        </is>
      </c>
      <c r="D13" s="49" t="inlineStr">
        <is>
          <t>减仓后状态</t>
        </is>
      </c>
      <c r="E13" s="49" t="inlineStr">
        <is>
          <t>备注</t>
        </is>
      </c>
    </row>
    <row r="14" ht="14.5" customHeight="1" s="1">
      <c r="A14" s="50" t="inlineStr">
        <is>
          <t>预警线</t>
        </is>
      </c>
      <c r="B14" s="50" t="inlineStr">
        <is>
          <t>&gt;= -5%</t>
        </is>
      </c>
      <c r="C14" s="50" t="inlineStr">
        <is>
          <t>记录台账，暂停新增买入</t>
        </is>
      </c>
      <c r="D14" s="50" t="inlineStr">
        <is>
          <t>保持仓位，进入观察</t>
        </is>
      </c>
      <c r="E14" s="50" t="inlineStr"/>
    </row>
    <row r="15" ht="14.5" customHeight="1" s="1">
      <c r="A15" s="50" t="inlineStr">
        <is>
          <t>止损A</t>
        </is>
      </c>
      <c r="B15" s="50" t="inlineStr">
        <is>
          <t>&gt;= -10%</t>
        </is>
      </c>
      <c r="C15" s="50" t="inlineStr">
        <is>
          <t>次日开盘市价卖出50%</t>
        </is>
      </c>
      <c r="D15" s="50" t="inlineStr">
        <is>
          <t>剩余~12.5万</t>
        </is>
      </c>
      <c r="E15" s="50" t="inlineStr">
        <is>
          <t>优化：放宽后</t>
        </is>
      </c>
    </row>
    <row r="16" ht="14.5" customHeight="1" s="1">
      <c r="A16" s="50" t="inlineStr">
        <is>
          <t>止损B</t>
        </is>
      </c>
      <c r="B16" s="50" t="inlineStr">
        <is>
          <t>&gt;= -15%</t>
        </is>
      </c>
      <c r="C16" s="50" t="inlineStr">
        <is>
          <t>次日开盘市价卖出100%</t>
        </is>
      </c>
      <c r="D16" s="50" t="inlineStr">
        <is>
          <t>彻底清仓，观察20日</t>
        </is>
      </c>
      <c r="E16" s="50" t="inlineStr">
        <is>
          <t>优化：放宽后</t>
        </is>
      </c>
    </row>
    <row r="18">
      <c r="A18" s="51" t="inlineStr">
        <is>
          <t>[新增] 动态止损：价格跌破20日均线且累计跌幅超8% -&gt; 预警，暂停新增买入</t>
        </is>
      </c>
    </row>
    <row r="20" ht="16.5" customHeight="1" s="1">
      <c r="A20" s="47" t="inlineStr">
        <is>
          <t>三、其他权益品种统一止损（-15%）</t>
        </is>
      </c>
    </row>
    <row r="21">
      <c r="A21" s="48" t="inlineStr">
        <is>
          <t>适用：510300/510500/512890/518880/511380  |  清仓后观察40个交易日，站稳20日均线方可重建</t>
        </is>
      </c>
    </row>
    <row r="23" ht="16.5" customHeight="1" s="1">
      <c r="A23" s="47" t="inlineStr">
        <is>
          <t>四、组合再平衡（优化版）</t>
        </is>
      </c>
    </row>
    <row r="24" ht="14.5" customHeight="1" s="1">
      <c r="A24" s="49" t="inlineStr">
        <is>
          <t>偏离程度</t>
        </is>
      </c>
      <c r="B24" s="49" t="inlineStr">
        <is>
          <t>阈值</t>
        </is>
      </c>
      <c r="C24" s="49" t="inlineStr">
        <is>
          <t>执行动作</t>
        </is>
      </c>
      <c r="D24" s="49" t="inlineStr">
        <is>
          <t>完成时限</t>
        </is>
      </c>
      <c r="E24" s="49" t="inlineStr">
        <is>
          <t>备注</t>
        </is>
      </c>
    </row>
    <row r="25" ht="14.5" customHeight="1" s="1">
      <c r="A25" s="50" t="inlineStr">
        <is>
          <t>预警线</t>
        </is>
      </c>
      <c r="B25" s="50" t="inlineStr">
        <is>
          <t>+/- 3%</t>
        </is>
      </c>
      <c r="C25" s="50" t="inlineStr">
        <is>
          <t>记录台账，观察准备资金</t>
        </is>
      </c>
      <c r="D25" s="50" t="inlineStr">
        <is>
          <t>不强制操作</t>
        </is>
      </c>
      <c r="E25" s="50" t="inlineStr">
        <is>
          <t>新增</t>
        </is>
      </c>
    </row>
    <row r="26" ht="14.5" customHeight="1" s="1">
      <c r="A26" s="50" t="inlineStr">
        <is>
          <t>触发线</t>
        </is>
      </c>
      <c r="B26" s="50" t="inlineStr">
        <is>
          <t>+/- 7%</t>
        </is>
      </c>
      <c r="C26" s="50" t="inlineStr">
        <is>
          <t>强制卖出超配，买入低配</t>
        </is>
      </c>
      <c r="D26" s="50" t="inlineStr">
        <is>
          <t>2个交易日内</t>
        </is>
      </c>
      <c r="E26" s="50" t="inlineStr">
        <is>
          <t>放宽后</t>
        </is>
      </c>
    </row>
    <row r="27" ht="14.5" customHeight="1" s="1">
      <c r="A27" s="50" t="inlineStr">
        <is>
          <t>紧急线</t>
        </is>
      </c>
      <c r="B27" s="50" t="inlineStr">
        <is>
          <t>+/- 10%</t>
        </is>
      </c>
      <c r="C27" s="50" t="inlineStr">
        <is>
          <t>次日必须完成纠偏</t>
        </is>
      </c>
      <c r="D27" s="50" t="inlineStr">
        <is>
          <t>次日收盘前</t>
        </is>
      </c>
      <c r="E27" s="50" t="inlineStr">
        <is>
          <t>新增</t>
        </is>
      </c>
    </row>
    <row r="29">
      <c r="A29" s="51" t="inlineStr">
        <is>
          <t>[新增] 估值再平衡：沪深300 PE&gt;70%分位 -&gt; 权益降5% -&gt; 转入511260/511010</t>
        </is>
      </c>
    </row>
    <row r="30">
      <c r="A30" s="52" t="inlineStr">
        <is>
          <t>卖出排序：黄金&gt;科创/创业&gt;可转债&gt;中证500&gt;沪深300&gt;红利低波</t>
        </is>
      </c>
    </row>
    <row r="32" ht="16.5" customHeight="1" s="1">
      <c r="A32" s="47" t="inlineStr">
        <is>
          <t>五、熔断与黑天鹅应对</t>
        </is>
      </c>
    </row>
    <row r="33" ht="14.5" customHeight="1" s="1">
      <c r="A33" s="49" t="inlineStr">
        <is>
          <t>档位</t>
        </is>
      </c>
      <c r="B33" s="49" t="inlineStr">
        <is>
          <t>组合回撤</t>
        </is>
      </c>
      <c r="C33" s="49" t="inlineStr">
        <is>
          <t>触发状态</t>
        </is>
      </c>
      <c r="D33" s="49" t="inlineStr">
        <is>
          <t>强制动作</t>
        </is>
      </c>
      <c r="E33" s="49" t="inlineStr">
        <is>
          <t>备注</t>
        </is>
      </c>
    </row>
    <row r="34" ht="14.5" customHeight="1" s="1">
      <c r="A34" s="50" t="inlineStr">
        <is>
          <t>绿色</t>
        </is>
      </c>
      <c r="B34" s="50" t="inlineStr">
        <is>
          <t>&lt; -5%</t>
        </is>
      </c>
      <c r="C34" s="50" t="inlineStr">
        <is>
          <t>正常波动</t>
        </is>
      </c>
      <c r="D34" s="50" t="inlineStr">
        <is>
          <t>维持既有纪律</t>
        </is>
      </c>
      <c r="E34" s="50" t="inlineStr"/>
    </row>
    <row r="35" ht="14.5" customHeight="1" s="1">
      <c r="A35" s="50" t="inlineStr">
        <is>
          <t>黄色</t>
        </is>
      </c>
      <c r="B35" s="50" t="inlineStr">
        <is>
          <t>&gt;= -10%</t>
        </is>
      </c>
      <c r="C35" s="50" t="inlineStr">
        <is>
          <t>组合预警</t>
        </is>
      </c>
      <c r="D35" s="50" t="inlineStr">
        <is>
          <t>暂停新建仓+追涨，仅允许止盈/止损/再平衡</t>
        </is>
      </c>
      <c r="E35" s="50" t="inlineStr"/>
    </row>
    <row r="36" ht="14.5" customHeight="1" s="1">
      <c r="A36" s="50" t="inlineStr">
        <is>
          <t>红色</t>
        </is>
      </c>
      <c r="B36" s="50" t="inlineStr">
        <is>
          <t>&gt;= -12%</t>
        </is>
      </c>
      <c r="C36" s="50" t="inlineStr">
        <is>
          <t>组合熔断</t>
        </is>
      </c>
      <c r="D36" s="50" t="inlineStr">
        <is>
          <t>权益压至60%以下，资金转债/货基</t>
        </is>
      </c>
      <c r="E36" s="50" t="inlineStr">
        <is>
          <t>不变</t>
        </is>
      </c>
    </row>
    <row r="37" ht="14.5" customHeight="1" s="1">
      <c r="A37" s="50" t="inlineStr">
        <is>
          <t>黑天鹅</t>
        </is>
      </c>
      <c r="B37" s="50" t="inlineStr">
        <is>
          <t>&gt;= -15%</t>
        </is>
      </c>
      <c r="C37" s="50" t="inlineStr">
        <is>
          <t>极端风险</t>
        </is>
      </c>
      <c r="D37" s="50" t="inlineStr">
        <is>
          <t>权益压至40%以下；保留20%现金+40%债券</t>
        </is>
      </c>
      <c r="E37" s="50" t="inlineStr">
        <is>
          <t>新增</t>
        </is>
      </c>
    </row>
    <row r="39">
      <c r="A39" s="52" t="inlineStr">
        <is>
          <t>黑天鹅卖出顺序：科创50&gt;创业板&gt;黄金(保留底10万)&gt;中证500&gt;可转债 | 恢复：回撤&lt;-10%</t>
        </is>
      </c>
    </row>
    <row r="40">
      <c r="A40" s="51" t="inlineStr">
        <is>
          <t>不可抗拒条款：触发当日必须下达卖出指令，不得以等反弹为由拖延</t>
        </is>
      </c>
    </row>
    <row r="42" ht="16.5" customHeight="1" s="1">
      <c r="A42" s="47" t="inlineStr">
        <is>
          <t>六、黄金ETF（518880）建仓（优化版：底仓+定投+大跌加码）</t>
        </is>
      </c>
    </row>
    <row r="43" ht="14.5" customHeight="1" s="1">
      <c r="A43" s="49" t="inlineStr">
        <is>
          <t>阶段</t>
        </is>
      </c>
      <c r="B43" s="49" t="inlineStr">
        <is>
          <t>触发条件</t>
        </is>
      </c>
      <c r="C43" s="49" t="inlineStr">
        <is>
          <t>单次投入</t>
        </is>
      </c>
      <c r="D43" s="49" t="inlineStr">
        <is>
          <t>累计投入</t>
        </is>
      </c>
      <c r="E43" s="49" t="inlineStr">
        <is>
          <t>仓位进度</t>
        </is>
      </c>
    </row>
    <row r="44" ht="14.5" customHeight="1" s="1">
      <c r="A44" s="50" t="inlineStr">
        <is>
          <t>底仓先行</t>
        </is>
      </c>
      <c r="B44" s="50" t="inlineStr">
        <is>
          <t>立即执行</t>
        </is>
      </c>
      <c r="C44" s="50" t="inlineStr">
        <is>
          <t>25万</t>
        </is>
      </c>
      <c r="D44" s="50" t="inlineStr">
        <is>
          <t>25万</t>
        </is>
      </c>
      <c r="E44" s="50" t="inlineStr">
        <is>
          <t>33%</t>
        </is>
      </c>
    </row>
    <row r="45" ht="14.5" customHeight="1" s="1">
      <c r="A45" s="50" t="inlineStr">
        <is>
          <t>定投阶段</t>
        </is>
      </c>
      <c r="B45" s="50" t="inlineStr">
        <is>
          <t>每月固定（第2-12月）</t>
        </is>
      </c>
      <c r="C45" s="50" t="inlineStr">
        <is>
          <t>4.5万/月</t>
        </is>
      </c>
      <c r="D45" s="50" t="inlineStr">
        <is>
          <t>25-70万</t>
        </is>
      </c>
      <c r="E45" s="50" t="inlineStr">
        <is>
          <t>33%-93%</t>
        </is>
      </c>
    </row>
    <row r="46" ht="14.5" customHeight="1" s="1">
      <c r="A46" s="50" t="inlineStr">
        <is>
          <t>大跌加码</t>
        </is>
      </c>
      <c r="B46" s="50" t="inlineStr">
        <is>
          <t>单月跌幅超5%</t>
        </is>
      </c>
      <c r="C46" s="50" t="inlineStr">
        <is>
          <t>5万/次</t>
        </is>
      </c>
      <c r="D46" s="50" t="inlineStr">
        <is>
          <t>累计不超过75万</t>
        </is>
      </c>
      <c r="E46" s="50" t="inlineStr">
        <is>
          <t>灵活补充</t>
        </is>
      </c>
    </row>
    <row r="47" ht="14.5" customHeight="1" s="1">
      <c r="A47" s="50" t="inlineStr">
        <is>
          <t>收官</t>
        </is>
      </c>
      <c r="B47" s="50" t="inlineStr">
        <is>
          <t>12个月完成或累计达75万</t>
        </is>
      </c>
      <c r="C47" s="50" t="inlineStr">
        <is>
          <t>补齐剩余</t>
        </is>
      </c>
      <c r="D47" s="50" t="inlineStr">
        <is>
          <t>75万</t>
        </is>
      </c>
      <c r="E47" s="50" t="inlineStr">
        <is>
          <t>100%</t>
        </is>
      </c>
    </row>
    <row r="49">
      <c r="A49" s="52" t="inlineStr">
        <is>
          <t>配套：时间强制轨道(3月未加码第4月强制4.5万) | 右侧修正(突破前高连5日站稳追入) | 硬止损(-20%且2周暂停)</t>
        </is>
      </c>
    </row>
    <row r="51" ht="16.5" customHeight="1" s="1">
      <c r="A51" s="47" t="inlineStr">
        <is>
          <t>七、盈利提取规则（新增）</t>
        </is>
      </c>
    </row>
    <row r="52" ht="14.5" customHeight="1" s="1">
      <c r="A52" s="53" t="inlineStr">
        <is>
          <t>年收益&gt;15%时提取50%至独立现金账户，作为胜利果实锁定，不计入再平衡</t>
        </is>
      </c>
    </row>
    <row r="54" ht="16.5" customHeight="1" s="1">
      <c r="A54" s="47" t="inlineStr">
        <is>
          <t>八、流动性三原则</t>
        </is>
      </c>
    </row>
    <row r="55" ht="14.5" customHeight="1" s="1">
      <c r="A55" s="53" t="inlineStr">
        <is>
          <t>511880+511990(50万)：除非系统暴跌补仓，否则不动 | 511360(25万)：T+0战术 | 类现金合计&gt;=75万</t>
        </is>
      </c>
    </row>
  </sheetData>
  <mergeCells count="20">
    <mergeCell ref="A30:E30"/>
    <mergeCell ref="A39:E39"/>
    <mergeCell ref="A49:E49"/>
    <mergeCell ref="A51:E51"/>
    <mergeCell ref="A1:E1"/>
    <mergeCell ref="A54:E54"/>
    <mergeCell ref="A18:E18"/>
    <mergeCell ref="A3:E3"/>
    <mergeCell ref="A21:E21"/>
    <mergeCell ref="A55:E55"/>
    <mergeCell ref="A12:E12"/>
    <mergeCell ref="A42:E42"/>
    <mergeCell ref="A23:E23"/>
    <mergeCell ref="A32:E32"/>
    <mergeCell ref="A29:E29"/>
    <mergeCell ref="A4:E4"/>
    <mergeCell ref="A20:E20"/>
    <mergeCell ref="A52:E52"/>
    <mergeCell ref="A10:E10"/>
    <mergeCell ref="A40:E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J14" sqref="J14"/>
    </sheetView>
  </sheetViews>
  <sheetFormatPr baseColWidth="8" defaultColWidth="8.731481481481479" defaultRowHeight="14.4"/>
  <cols>
    <col width="7.5462962962963" customWidth="1" style="1" min="1" max="1"/>
    <col width="25.7777777777778" customWidth="1" style="1" min="2" max="2"/>
    <col hidden="1" width="16.2685185185185" customWidth="1" style="1" min="3" max="3"/>
    <col width="16.2685185185185" customWidth="1" style="1" min="4" max="4"/>
    <col width="12" customWidth="1" style="1" min="5" max="5"/>
    <col width="11.7777777777778" customWidth="1" style="1" min="6" max="6"/>
    <col width="9.66666666666667" customWidth="1" style="1" min="7" max="7"/>
    <col width="10.6388888888889" customWidth="1" style="54" min="8" max="8"/>
    <col width="10.6388888888889" customWidth="1" style="55" min="9" max="9"/>
    <col width="16.4444444444444" customWidth="1" style="56" min="10" max="10"/>
    <col width="14.2222222222222" customWidth="1" style="57" min="11" max="11"/>
    <col width="15.1851851851852" customWidth="1" style="1" min="12" max="12"/>
    <col width="10.6388888888889" customWidth="1" style="57" min="13" max="13"/>
    <col width="43.4444444444444" customWidth="1" style="58" min="14" max="14"/>
    <col width="16.4444444444444" customWidth="1" style="1" min="15" max="15"/>
    <col width="9.546296296296299" customWidth="1" style="1" min="16" max="16"/>
    <col width="12.8148148148148" customWidth="1" style="1" min="17" max="18"/>
  </cols>
  <sheetData>
    <row r="1" ht="115.2" customHeight="1" s="1">
      <c r="A1" s="16" t="inlineStr">
        <is>
          <t>更新日期: 2026-06-21 (数据日期: 2026-06-18)</t>
        </is>
      </c>
      <c r="B1" s="16" t="inlineStr">
        <is>
          <t>名称</t>
        </is>
      </c>
      <c r="C1" s="16" t="inlineStr">
        <is>
          <t>总金额</t>
        </is>
      </c>
      <c r="D1" s="4" t="inlineStr">
        <is>
          <t>目标金额</t>
        </is>
      </c>
      <c r="E1" s="17" t="inlineStr">
        <is>
          <t>目标权重</t>
        </is>
      </c>
      <c r="F1" s="17" t="inlineStr">
        <is>
          <t>当前权重</t>
        </is>
      </c>
      <c r="G1" s="17" t="inlineStr">
        <is>
          <t>偏离</t>
        </is>
      </c>
      <c r="H1" s="59" t="inlineStr">
        <is>
          <t>成本价</t>
        </is>
      </c>
      <c r="I1" s="60" t="inlineStr">
        <is>
          <t>数量</t>
        </is>
      </c>
      <c r="J1" s="61" t="inlineStr">
        <is>
          <t>成本</t>
        </is>
      </c>
      <c r="K1" s="17" t="inlineStr">
        <is>
          <t>今日收盘价</t>
        </is>
      </c>
      <c r="L1" s="61" t="inlineStr">
        <is>
          <t>浮盈/亏</t>
        </is>
      </c>
      <c r="M1" s="62" t="inlineStr">
        <is>
          <t>浮盈/亏率</t>
        </is>
      </c>
      <c r="N1" s="17" t="inlineStr">
        <is>
          <t>备注</t>
        </is>
      </c>
      <c r="O1" s="4" t="inlineStr">
        <is>
          <t>建仓计划</t>
        </is>
      </c>
    </row>
    <row r="2" customFormat="1" s="10">
      <c r="A2" s="22" t="n">
        <v>510300</v>
      </c>
      <c r="B2" s="23" t="inlineStr">
        <is>
          <t>沪深300ETF</t>
        </is>
      </c>
      <c r="C2" s="63" t="n">
        <v>5000000</v>
      </c>
      <c r="D2" s="64">
        <f>E2*C2</f>
        <v/>
      </c>
      <c r="E2" s="26" t="n">
        <v>0.15</v>
      </c>
      <c r="F2" s="65" t="n">
        <v>0.2177</v>
      </c>
      <c r="G2" s="65" t="n">
        <v>0.0677</v>
      </c>
      <c r="H2" s="66" t="n">
        <v>4.885</v>
      </c>
      <c r="I2" s="67" t="n">
        <v>153800</v>
      </c>
      <c r="J2" s="68" t="n">
        <v>751304</v>
      </c>
      <c r="K2" s="69" t="n">
        <v>4.984</v>
      </c>
      <c r="L2" s="70" t="n">
        <v>15226.2</v>
      </c>
      <c r="M2" s="71" t="n">
        <v>0.0203</v>
      </c>
      <c r="N2" s="23" t="inlineStr">
        <is>
          <t>📊权重预警偏离+6.8%</t>
        </is>
      </c>
      <c r="O2" s="72" t="n"/>
      <c r="P2" s="35" t="n"/>
      <c r="Q2" s="35" t="n"/>
      <c r="R2" s="10" t="n">
        <v>42600</v>
      </c>
    </row>
    <row r="3">
      <c r="A3" s="36" t="n">
        <v>510500</v>
      </c>
      <c r="B3" s="36" t="inlineStr">
        <is>
          <t>南方中证500ETF</t>
        </is>
      </c>
      <c r="C3" s="73" t="n">
        <v>5000000</v>
      </c>
      <c r="D3" s="74">
        <f>E3*C3</f>
        <v/>
      </c>
      <c r="E3" s="39" t="n">
        <v>0.1</v>
      </c>
      <c r="F3" s="75" t="n">
        <v>0.0501</v>
      </c>
      <c r="G3" s="75" t="n">
        <v>-0.0499</v>
      </c>
      <c r="H3" s="76" t="n">
        <v>8.696</v>
      </c>
      <c r="I3" s="77" t="n">
        <v>20000</v>
      </c>
      <c r="J3" s="78">
        <f>H3*I3</f>
        <v/>
      </c>
      <c r="K3" s="79" t="n">
        <v>8.827999999999999</v>
      </c>
      <c r="L3" s="80" t="n">
        <v>2640</v>
      </c>
      <c r="M3" s="62" t="n">
        <v>0.0152</v>
      </c>
      <c r="N3" s="4" t="inlineStr">
        <is>
          <t>📊权重预警偏离-5.0%</t>
        </is>
      </c>
      <c r="O3" s="72">
        <f>D3-J3</f>
        <v/>
      </c>
      <c r="R3" s="0" t="n">
        <v>38700</v>
      </c>
    </row>
    <row r="4">
      <c r="A4" s="36" t="n">
        <v>588050</v>
      </c>
      <c r="B4" s="36" t="inlineStr">
        <is>
          <t>科创50ETF</t>
        </is>
      </c>
      <c r="C4" s="73" t="n">
        <v>5000000</v>
      </c>
      <c r="D4" s="74">
        <f>E4*C4</f>
        <v/>
      </c>
      <c r="E4" s="39" t="n">
        <v>0.05</v>
      </c>
      <c r="F4" s="75" t="n">
        <v>0.0334</v>
      </c>
      <c r="G4" s="75" t="n">
        <v>-0.0166</v>
      </c>
      <c r="H4" s="76" t="n">
        <v>1.838</v>
      </c>
      <c r="I4" s="77" t="n">
        <v>60000</v>
      </c>
      <c r="J4" s="78">
        <f>H4*I4</f>
        <v/>
      </c>
      <c r="K4" s="79" t="n">
        <v>1.958</v>
      </c>
      <c r="L4" s="80" t="n">
        <v>7200</v>
      </c>
      <c r="M4" s="62" t="n">
        <v>0.0653</v>
      </c>
      <c r="N4" s="4" t="n"/>
      <c r="O4" s="72">
        <f>D4-J4</f>
        <v/>
      </c>
      <c r="R4" s="0" t="n">
        <v>77900</v>
      </c>
    </row>
    <row r="5" customFormat="1" s="10">
      <c r="A5" s="22" t="n">
        <v>159915</v>
      </c>
      <c r="B5" s="22" t="inlineStr">
        <is>
          <t>易方达创业板ETF</t>
        </is>
      </c>
      <c r="C5" s="63" t="n">
        <v>5000000</v>
      </c>
      <c r="D5" s="64">
        <f>E5*C5</f>
        <v/>
      </c>
      <c r="E5" s="26" t="n">
        <v>0.05</v>
      </c>
      <c r="F5" s="65" t="n">
        <v>0.0764</v>
      </c>
      <c r="G5" s="65" t="n">
        <v>0.0264</v>
      </c>
      <c r="H5" s="69" t="n">
        <v>3.968</v>
      </c>
      <c r="I5" s="67" t="n">
        <v>63000</v>
      </c>
      <c r="J5" s="68">
        <f>H5*I5</f>
        <v/>
      </c>
      <c r="K5" s="79" t="n">
        <v>4.269</v>
      </c>
      <c r="L5" s="70" t="n">
        <v>18963</v>
      </c>
      <c r="M5" s="71" t="n">
        <v>0.0759</v>
      </c>
      <c r="N5" s="23" t="inlineStr">
        <is>
          <t>🟢止盈第一档：浮盈7.6% &gt;= 7%，减仓20%</t>
        </is>
      </c>
      <c r="O5" s="72" t="n"/>
    </row>
    <row r="6" customFormat="1" s="10">
      <c r="A6" s="22" t="n">
        <v>512890</v>
      </c>
      <c r="B6" s="22" t="inlineStr">
        <is>
          <t>华泰柏瑞红利低波ETF</t>
        </is>
      </c>
      <c r="C6" s="63" t="n">
        <v>5000000</v>
      </c>
      <c r="D6" s="64">
        <f>E6*C6</f>
        <v/>
      </c>
      <c r="E6" s="26" t="n">
        <v>0.05</v>
      </c>
      <c r="F6" s="65" t="n">
        <v>0.06900000000000001</v>
      </c>
      <c r="G6" s="65" t="n">
        <v>0.019</v>
      </c>
      <c r="H6" s="69" t="n">
        <v>1.15</v>
      </c>
      <c r="I6" s="67" t="n">
        <v>218000</v>
      </c>
      <c r="J6" s="68">
        <f>H6*I6</f>
        <v/>
      </c>
      <c r="K6" s="79" t="n">
        <v>1.115</v>
      </c>
      <c r="L6" s="70" t="n">
        <v>-7630</v>
      </c>
      <c r="M6" s="71" t="n">
        <v>-0.0304</v>
      </c>
      <c r="N6" s="23" t="n"/>
      <c r="O6" s="72" t="n"/>
    </row>
    <row r="7">
      <c r="A7" s="36" t="n">
        <v>511380</v>
      </c>
      <c r="B7" s="36" t="inlineStr">
        <is>
          <t>可转债ETF</t>
        </is>
      </c>
      <c r="C7" s="73" t="n">
        <v>5000000</v>
      </c>
      <c r="D7" s="74">
        <f>E7*C7</f>
        <v/>
      </c>
      <c r="E7" s="39" t="n">
        <v>0.1</v>
      </c>
      <c r="F7" s="75" t="n">
        <v>0.0579</v>
      </c>
      <c r="G7" s="75" t="n">
        <v>-0.0421</v>
      </c>
      <c r="H7" s="76" t="n">
        <v>13.8644</v>
      </c>
      <c r="I7" s="77" t="n">
        <v>14500</v>
      </c>
      <c r="J7" s="78" t="n">
        <v>201034</v>
      </c>
      <c r="K7" s="76" t="n">
        <v>14.067</v>
      </c>
      <c r="L7" s="80" t="n">
        <v>2937.7</v>
      </c>
      <c r="M7" s="62" t="n">
        <v>0.0146</v>
      </c>
      <c r="N7" s="4" t="inlineStr">
        <is>
          <t>📊权重预警偏离-4.2%</t>
        </is>
      </c>
      <c r="O7" s="72">
        <f>D7-J7</f>
        <v/>
      </c>
    </row>
    <row r="8" customFormat="1" s="10">
      <c r="A8" s="22" t="n">
        <v>511260</v>
      </c>
      <c r="B8" s="22" t="inlineStr">
        <is>
          <t>国泰上证10年期国债ETF</t>
        </is>
      </c>
      <c r="C8" s="63" t="n">
        <v>5000000</v>
      </c>
      <c r="D8" s="64">
        <f>E8*C8</f>
        <v/>
      </c>
      <c r="E8" s="26" t="n">
        <v>0.1</v>
      </c>
      <c r="F8" s="65" t="n">
        <v>0.1429</v>
      </c>
      <c r="G8" s="65" t="n">
        <v>0.0429</v>
      </c>
      <c r="H8" s="69" t="n">
        <v>135.645</v>
      </c>
      <c r="I8" s="67" t="n">
        <v>3700</v>
      </c>
      <c r="J8" s="68">
        <f>H8*I8</f>
        <v/>
      </c>
      <c r="K8" s="79" t="n">
        <v>135.984</v>
      </c>
      <c r="L8" s="70" t="n">
        <v>1254.3</v>
      </c>
      <c r="M8" s="71" t="n">
        <v>0.0025</v>
      </c>
      <c r="N8" s="23" t="inlineStr">
        <is>
          <t>📊权重预警偏离+4.3%</t>
        </is>
      </c>
      <c r="O8" s="72" t="n"/>
    </row>
    <row r="9" customFormat="1" s="10">
      <c r="A9" s="22" t="n">
        <v>511010</v>
      </c>
      <c r="B9" s="22" t="inlineStr">
        <is>
          <t>国泰上证5年期国债ETF</t>
        </is>
      </c>
      <c r="C9" s="63" t="n">
        <v>5000000</v>
      </c>
      <c r="D9" s="64">
        <f>E9*C9</f>
        <v/>
      </c>
      <c r="E9" s="26" t="n">
        <v>0.1</v>
      </c>
      <c r="F9" s="65" t="n">
        <v>0.1406</v>
      </c>
      <c r="G9" s="65" t="n">
        <v>0.0406</v>
      </c>
      <c r="H9" s="69" t="n">
        <v>141.2121</v>
      </c>
      <c r="I9" s="67" t="n">
        <v>3500</v>
      </c>
      <c r="J9" s="68" t="n">
        <v>494242.4</v>
      </c>
      <c r="K9" s="79" t="n">
        <v>141.431</v>
      </c>
      <c r="L9" s="70" t="n">
        <v>766.15</v>
      </c>
      <c r="M9" s="71" t="n">
        <v>0.0016</v>
      </c>
      <c r="N9" s="23" t="inlineStr">
        <is>
          <t>📊权重预警偏离+4.1%</t>
        </is>
      </c>
      <c r="O9" s="72" t="n"/>
    </row>
    <row r="10" customFormat="1" s="10">
      <c r="A10" s="22" t="n">
        <v>511360</v>
      </c>
      <c r="B10" s="22" t="inlineStr">
        <is>
          <t>海富通中证短融ETF</t>
        </is>
      </c>
      <c r="C10" s="63" t="n">
        <v>5000000</v>
      </c>
      <c r="D10" s="64">
        <f>E10*C10</f>
        <v/>
      </c>
      <c r="E10" s="26" t="n">
        <v>0.05</v>
      </c>
      <c r="F10" s="65" t="n">
        <v>0.0709</v>
      </c>
      <c r="G10" s="65" t="n">
        <v>0.0209</v>
      </c>
      <c r="H10" s="69" t="n">
        <v>113.462</v>
      </c>
      <c r="I10" s="67" t="n">
        <v>2200</v>
      </c>
      <c r="J10" s="68">
        <f>H10*I10</f>
        <v/>
      </c>
      <c r="K10" s="79" t="n">
        <v>113.557</v>
      </c>
      <c r="L10" s="70" t="n">
        <v>209</v>
      </c>
      <c r="M10" s="71" t="n">
        <v>0.0008</v>
      </c>
      <c r="N10" s="23" t="n"/>
      <c r="O10" s="72" t="n"/>
    </row>
    <row r="11">
      <c r="A11" s="36" t="n">
        <v>518880</v>
      </c>
      <c r="B11" s="36" t="inlineStr">
        <is>
          <t>华安黄金ETF</t>
        </is>
      </c>
      <c r="C11" s="73" t="n">
        <v>5000000</v>
      </c>
      <c r="D11" s="74">
        <f>E11*C11</f>
        <v/>
      </c>
      <c r="E11" s="39" t="n">
        <v>0.15</v>
      </c>
      <c r="F11" s="75" t="n">
        <v>0.1411</v>
      </c>
      <c r="G11" s="75" t="n">
        <v>-0.0089</v>
      </c>
      <c r="H11" s="81" t="n">
        <v>9.232699999999999</v>
      </c>
      <c r="I11" s="77" t="n">
        <v>55800</v>
      </c>
      <c r="J11" s="78">
        <f>H11*I11</f>
        <v/>
      </c>
      <c r="K11" s="79" t="n">
        <v>8.907999999999999</v>
      </c>
      <c r="L11" s="80" t="n">
        <v>-18118.26</v>
      </c>
      <c r="M11" s="62" t="n">
        <v>-0.0352</v>
      </c>
      <c r="N11" s="4" t="n"/>
      <c r="O11" s="72">
        <f>D11-J11</f>
        <v/>
      </c>
    </row>
    <row r="12">
      <c r="A12" s="36" t="n">
        <v>511880</v>
      </c>
      <c r="B12" s="36" t="inlineStr">
        <is>
          <t>银华日利ETF</t>
        </is>
      </c>
      <c r="C12" s="73" t="n">
        <v>5000000</v>
      </c>
      <c r="D12" s="74">
        <f>E12*C12</f>
        <v/>
      </c>
      <c r="E12" s="39" t="n">
        <v>0.05</v>
      </c>
      <c r="F12" s="75" t="n">
        <v>0</v>
      </c>
      <c r="G12" s="75" t="n">
        <v>-0.05</v>
      </c>
      <c r="H12" s="76" t="n"/>
      <c r="I12" s="77" t="n"/>
      <c r="J12" s="78">
        <f>H12*I12</f>
        <v/>
      </c>
      <c r="K12" s="76" t="n">
        <v>100.533</v>
      </c>
      <c r="L12" s="80" t="n">
        <v>0</v>
      </c>
      <c r="M12" s="62" t="n">
        <v>0</v>
      </c>
      <c r="N12" s="4" t="inlineStr">
        <is>
          <t>📊权重预警偏离-5.0%</t>
        </is>
      </c>
      <c r="O12" s="72">
        <f>D12-J12</f>
        <v/>
      </c>
    </row>
    <row r="13">
      <c r="A13" s="36" t="n">
        <v>511990</v>
      </c>
      <c r="B13" s="36" t="inlineStr">
        <is>
          <t>华宝添益ETF</t>
        </is>
      </c>
      <c r="C13" s="73" t="n">
        <v>5000000</v>
      </c>
      <c r="D13" s="74">
        <f>E13*C13</f>
        <v/>
      </c>
      <c r="E13" s="39" t="n">
        <v>0.05</v>
      </c>
      <c r="F13" s="75" t="n">
        <v>0</v>
      </c>
      <c r="G13" s="75" t="n">
        <v>-0.05</v>
      </c>
      <c r="H13" s="76" t="n"/>
      <c r="I13" s="77" t="n"/>
      <c r="J13" s="78">
        <f>H13*I13</f>
        <v/>
      </c>
      <c r="K13" s="79" t="n">
        <v>100</v>
      </c>
      <c r="L13" s="80" t="n">
        <v>0</v>
      </c>
      <c r="M13" s="62" t="n">
        <v>0</v>
      </c>
      <c r="N13" s="4" t="inlineStr">
        <is>
          <t>📊权重预警偏离-5.0%</t>
        </is>
      </c>
      <c r="O13" s="72">
        <f>D13-J13</f>
        <v/>
      </c>
    </row>
    <row r="14">
      <c r="A14" s="4" t="inlineStr"/>
      <c r="B14" s="4" t="inlineStr"/>
      <c r="C14" s="4" t="inlineStr"/>
      <c r="D14" s="78">
        <f>SUM(D2:D13)</f>
        <v/>
      </c>
      <c r="E14" s="39" t="n"/>
      <c r="F14" s="39" t="n"/>
      <c r="G14" s="4" t="inlineStr"/>
      <c r="H14" s="76" t="inlineStr"/>
      <c r="I14" s="77" t="inlineStr"/>
      <c r="J14" s="78">
        <f>SUM(J2:J13)</f>
        <v/>
      </c>
      <c r="K14" s="4" t="n"/>
      <c r="L14" s="78">
        <f>SUM(L2:L13)</f>
        <v/>
      </c>
      <c r="M14" s="62">
        <f>L14/J14</f>
        <v/>
      </c>
      <c r="N14" s="4" t="inlineStr"/>
      <c r="O14" s="78">
        <f>D14-J14</f>
        <v/>
      </c>
    </row>
    <row r="17">
      <c r="J17" s="82" t="n"/>
    </row>
    <row r="21">
      <c r="J21" s="8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F1" sqref="F$1:F$1048576"/>
    </sheetView>
  </sheetViews>
  <sheetFormatPr baseColWidth="8" defaultColWidth="9" defaultRowHeight="14.4"/>
  <cols>
    <col width="20.8148148148148" customWidth="1" style="83" min="1" max="1"/>
    <col width="7.5462962962963" customWidth="1" style="1" min="2" max="2"/>
    <col width="12.9074074074074" customWidth="1" style="1" min="3" max="3"/>
    <col width="10.6388888888889" customWidth="1" style="1" min="4" max="4"/>
    <col width="14" customWidth="1" style="1" min="5" max="5"/>
    <col width="16.4444444444444" customWidth="1" style="1" min="6" max="6"/>
  </cols>
  <sheetData>
    <row r="1">
      <c r="A1" s="84" t="inlineStr">
        <is>
          <t>日期</t>
        </is>
      </c>
      <c r="B1" s="4" t="inlineStr">
        <is>
          <t>代码</t>
        </is>
      </c>
      <c r="C1" s="4" t="inlineStr">
        <is>
          <t>名称</t>
        </is>
      </c>
      <c r="D1" s="4" t="inlineStr">
        <is>
          <t>单价</t>
        </is>
      </c>
      <c r="E1" s="4" t="inlineStr">
        <is>
          <t>数量</t>
        </is>
      </c>
      <c r="F1" s="4" t="inlineStr">
        <is>
          <t>金额</t>
        </is>
      </c>
    </row>
    <row r="2">
      <c r="A2" s="84" t="inlineStr">
        <is>
          <t>2026-05-18</t>
        </is>
      </c>
      <c r="B2" s="5" t="inlineStr">
        <is>
          <t>511360</t>
        </is>
      </c>
      <c r="C2" s="4" t="inlineStr">
        <is>
          <t>短融ETF</t>
        </is>
      </c>
      <c r="D2" s="85" t="n">
        <v>113.462</v>
      </c>
      <c r="E2" s="77" t="n">
        <v>2200</v>
      </c>
      <c r="F2" s="78" t="n">
        <v>249616.4</v>
      </c>
    </row>
    <row r="3">
      <c r="A3" s="84" t="inlineStr">
        <is>
          <t>2026-05-18</t>
        </is>
      </c>
      <c r="B3" s="5" t="inlineStr">
        <is>
          <t>518880</t>
        </is>
      </c>
      <c r="C3" s="4" t="inlineStr">
        <is>
          <t>华安黄金ETF</t>
        </is>
      </c>
      <c r="D3" s="85" t="n">
        <v>9.497999999999999</v>
      </c>
      <c r="E3" s="77" t="n">
        <v>15800</v>
      </c>
      <c r="F3" s="78" t="n">
        <v>150068.4</v>
      </c>
    </row>
    <row r="4">
      <c r="A4" s="84" t="inlineStr">
        <is>
          <t>2026-05-19</t>
        </is>
      </c>
      <c r="B4" s="5" t="inlineStr">
        <is>
          <t>511010</t>
        </is>
      </c>
      <c r="C4" s="4" t="inlineStr">
        <is>
          <t>五年国债ETF</t>
        </is>
      </c>
      <c r="D4" s="85" t="n">
        <v>141.253</v>
      </c>
      <c r="E4" s="77" t="n">
        <v>800</v>
      </c>
      <c r="F4" s="78" t="n">
        <v>113002.4</v>
      </c>
    </row>
    <row r="5">
      <c r="A5" s="84" t="inlineStr">
        <is>
          <t>2026-05-21</t>
        </is>
      </c>
      <c r="B5" s="5" t="inlineStr">
        <is>
          <t>511260</t>
        </is>
      </c>
      <c r="C5" s="4" t="inlineStr">
        <is>
          <t>十年国债ETF</t>
        </is>
      </c>
      <c r="D5" s="85" t="n">
        <v>135.645</v>
      </c>
      <c r="E5" s="77" t="n">
        <v>3700</v>
      </c>
      <c r="F5" s="78" t="n">
        <v>501886.5</v>
      </c>
    </row>
    <row r="6">
      <c r="A6" s="84" t="inlineStr">
        <is>
          <t>2026-05-21</t>
        </is>
      </c>
      <c r="B6" s="5" t="inlineStr">
        <is>
          <t>510300</t>
        </is>
      </c>
      <c r="C6" s="4" t="inlineStr">
        <is>
          <t>沪深300ETF</t>
        </is>
      </c>
      <c r="D6" s="85" t="n">
        <v>4.942</v>
      </c>
      <c r="E6" s="77" t="n">
        <v>70000</v>
      </c>
      <c r="F6" s="78" t="n">
        <v>345940</v>
      </c>
    </row>
    <row r="7">
      <c r="A7" s="84" t="inlineStr">
        <is>
          <t>2026-05-21</t>
        </is>
      </c>
      <c r="B7" s="5" t="inlineStr">
        <is>
          <t>159915</t>
        </is>
      </c>
      <c r="C7" s="4" t="inlineStr">
        <is>
          <t>创业板ETF</t>
        </is>
      </c>
      <c r="D7" s="85" t="n">
        <v>3.968</v>
      </c>
      <c r="E7" s="77" t="n">
        <v>63000</v>
      </c>
      <c r="F7" s="78" t="n">
        <v>249984</v>
      </c>
    </row>
    <row r="8">
      <c r="A8" s="84" t="inlineStr">
        <is>
          <t>2026-05-21</t>
        </is>
      </c>
      <c r="B8" s="5" t="inlineStr">
        <is>
          <t>510500</t>
        </is>
      </c>
      <c r="C8" s="4" t="inlineStr">
        <is>
          <t>中证500ETF</t>
        </is>
      </c>
      <c r="D8" s="85" t="n">
        <v>8.696</v>
      </c>
      <c r="E8" s="77" t="n">
        <v>4000</v>
      </c>
      <c r="F8" s="78" t="n">
        <v>34784</v>
      </c>
    </row>
    <row r="9">
      <c r="A9" s="84" t="inlineStr">
        <is>
          <t>2026-05-21</t>
        </is>
      </c>
      <c r="B9" s="5" t="inlineStr">
        <is>
          <t>510500</t>
        </is>
      </c>
      <c r="C9" s="4" t="inlineStr">
        <is>
          <t>中证500ETF</t>
        </is>
      </c>
      <c r="D9" s="85" t="n">
        <v>8.696</v>
      </c>
      <c r="E9" s="77" t="n">
        <v>16000</v>
      </c>
      <c r="F9" s="78" t="n">
        <v>139136</v>
      </c>
    </row>
    <row r="10">
      <c r="A10" s="84" t="inlineStr">
        <is>
          <t>2026-05-21</t>
        </is>
      </c>
      <c r="B10" s="5" t="inlineStr">
        <is>
          <t>510300</t>
        </is>
      </c>
      <c r="C10" s="4" t="inlineStr">
        <is>
          <t>沪深300ETF</t>
        </is>
      </c>
      <c r="D10" s="85" t="n">
        <v>4.865</v>
      </c>
      <c r="E10" s="77" t="n">
        <v>40000</v>
      </c>
      <c r="F10" s="78" t="n">
        <v>194600</v>
      </c>
    </row>
    <row r="11">
      <c r="A11" s="84" t="inlineStr">
        <is>
          <t>2026-05-21</t>
        </is>
      </c>
      <c r="B11" s="5" t="inlineStr">
        <is>
          <t>588050</t>
        </is>
      </c>
      <c r="C11" s="4" t="inlineStr">
        <is>
          <t>科创50ETF</t>
        </is>
      </c>
      <c r="D11" s="85" t="n">
        <v>1.838</v>
      </c>
      <c r="E11" s="77" t="n">
        <v>60000</v>
      </c>
      <c r="F11" s="78" t="n">
        <v>110280</v>
      </c>
    </row>
    <row r="12">
      <c r="A12" s="84" t="inlineStr">
        <is>
          <t>2026-05-21</t>
        </is>
      </c>
      <c r="B12" s="5" t="inlineStr">
        <is>
          <t>511010</t>
        </is>
      </c>
      <c r="C12" s="4" t="inlineStr">
        <is>
          <t>五年国债ETF</t>
        </is>
      </c>
      <c r="D12" s="85" t="n">
        <v>141.2</v>
      </c>
      <c r="E12" s="77" t="n">
        <v>2700</v>
      </c>
      <c r="F12" s="78" t="n">
        <v>381240</v>
      </c>
    </row>
    <row r="13">
      <c r="A13" s="86" t="inlineStr">
        <is>
          <t>2026-05-25</t>
        </is>
      </c>
      <c r="B13" s="5" t="n">
        <v>512890</v>
      </c>
      <c r="C13" s="4" t="inlineStr">
        <is>
          <t>华泰柏瑞红利低波ETF</t>
        </is>
      </c>
      <c r="D13" s="85" t="n">
        <v>1.15</v>
      </c>
      <c r="E13" s="77" t="n">
        <v>218000</v>
      </c>
      <c r="F13" s="78" t="n">
        <v>250700</v>
      </c>
    </row>
    <row r="14">
      <c r="A14" s="86" t="inlineStr">
        <is>
          <t>2026-05-26</t>
        </is>
      </c>
      <c r="B14" s="5" t="n">
        <v>518880</v>
      </c>
      <c r="C14" s="4" t="inlineStr">
        <is>
          <t>华安黄金ETF</t>
        </is>
      </c>
      <c r="D14" s="85" t="n">
        <v>9.455</v>
      </c>
      <c r="E14" s="77" t="n">
        <v>8000</v>
      </c>
      <c r="F14" s="78" t="n">
        <v>75640</v>
      </c>
    </row>
    <row r="15">
      <c r="A15" s="84" t="inlineStr">
        <is>
          <t>2026-05-27</t>
        </is>
      </c>
      <c r="B15" s="5" t="n">
        <v>518880</v>
      </c>
      <c r="C15" s="4" t="inlineStr">
        <is>
          <t>华安黄金ETF</t>
        </is>
      </c>
      <c r="D15" s="85" t="n">
        <v>9.385</v>
      </c>
      <c r="E15" s="77" t="n">
        <v>8000</v>
      </c>
      <c r="F15" s="78" t="n">
        <v>75080</v>
      </c>
    </row>
    <row r="16">
      <c r="A16" s="84" t="inlineStr">
        <is>
          <t>2026-05-28</t>
        </is>
      </c>
      <c r="B16" s="5" t="n">
        <v>518880</v>
      </c>
      <c r="C16" s="4" t="inlineStr">
        <is>
          <t>华安黄金ETF</t>
        </is>
      </c>
      <c r="D16" s="85" t="n">
        <v>9.15</v>
      </c>
      <c r="E16" s="77" t="n">
        <v>8000</v>
      </c>
      <c r="F16" s="78" t="n">
        <v>73200</v>
      </c>
    </row>
    <row r="17">
      <c r="A17" s="84" t="inlineStr">
        <is>
          <t>2026-05-28</t>
        </is>
      </c>
      <c r="B17" s="5" t="n">
        <v>511990</v>
      </c>
      <c r="C17" s="4" t="inlineStr">
        <is>
          <t>华宝添益ETF</t>
        </is>
      </c>
      <c r="D17" s="85" t="n">
        <v>99.997</v>
      </c>
      <c r="E17" s="77" t="n">
        <v>2500</v>
      </c>
      <c r="F17" s="78" t="n">
        <v>249992.5</v>
      </c>
    </row>
    <row r="18">
      <c r="A18" s="84" t="inlineStr">
        <is>
          <t>2026-06-05</t>
        </is>
      </c>
      <c r="B18" s="5" t="inlineStr">
        <is>
          <t>511380</t>
        </is>
      </c>
      <c r="C18" s="4" t="inlineStr">
        <is>
          <t>可转债ETF</t>
        </is>
      </c>
      <c r="D18" s="85" t="n">
        <v>13.95</v>
      </c>
      <c r="E18" s="77" t="n">
        <v>7200</v>
      </c>
      <c r="F18" s="78" t="n">
        <v>100440</v>
      </c>
    </row>
    <row r="19">
      <c r="A19" s="84" t="inlineStr">
        <is>
          <t>2026-06-05</t>
        </is>
      </c>
      <c r="B19" s="5" t="inlineStr">
        <is>
          <t>511990</t>
        </is>
      </c>
      <c r="C19" s="4" t="inlineStr">
        <is>
          <t>华宝添益ETF</t>
        </is>
      </c>
      <c r="D19" s="85" t="n">
        <v>100.005</v>
      </c>
      <c r="E19" s="77" t="n">
        <v>-2500</v>
      </c>
      <c r="F19" s="78" t="n">
        <v>250012.5</v>
      </c>
    </row>
    <row r="20">
      <c r="A20" s="84" t="inlineStr">
        <is>
          <t>2026-06-05</t>
        </is>
      </c>
      <c r="B20" s="5" t="n">
        <v>510300</v>
      </c>
      <c r="C20" s="4" t="inlineStr">
        <is>
          <t>沪深300ETF</t>
        </is>
      </c>
      <c r="D20" s="85" t="n">
        <v>4.85</v>
      </c>
      <c r="E20" s="77" t="n">
        <v>20000</v>
      </c>
      <c r="F20" s="78" t="n">
        <v>97000</v>
      </c>
    </row>
    <row r="21">
      <c r="A21" s="84" t="inlineStr">
        <is>
          <t>2026-06-08</t>
        </is>
      </c>
      <c r="B21" s="5" t="inlineStr">
        <is>
          <t>518880</t>
        </is>
      </c>
      <c r="C21" s="4" t="inlineStr">
        <is>
          <t>华安黄金ETF</t>
        </is>
      </c>
      <c r="D21" s="85" t="n">
        <v>9</v>
      </c>
      <c r="E21" s="77" t="n">
        <v>8000</v>
      </c>
      <c r="F21" s="78" t="n">
        <v>72000</v>
      </c>
    </row>
    <row r="22">
      <c r="A22" s="84" t="inlineStr">
        <is>
          <t>2026-06-08</t>
        </is>
      </c>
      <c r="B22" s="5" t="inlineStr">
        <is>
          <t>510300</t>
        </is>
      </c>
      <c r="C22" s="4" t="inlineStr">
        <is>
          <t>沪深300ETF</t>
        </is>
      </c>
      <c r="D22" s="85" t="n">
        <v>4.78</v>
      </c>
      <c r="E22" s="77" t="n">
        <v>23800</v>
      </c>
      <c r="F22" s="78" t="n">
        <v>113764</v>
      </c>
    </row>
    <row r="23">
      <c r="A23" s="84" t="inlineStr">
        <is>
          <t>2026-06-10</t>
        </is>
      </c>
      <c r="B23" s="5" t="inlineStr">
        <is>
          <t>511380</t>
        </is>
      </c>
      <c r="C23" s="4" t="inlineStr">
        <is>
          <t>可转债ETF</t>
        </is>
      </c>
      <c r="D23" s="85" t="n">
        <v>13.78</v>
      </c>
      <c r="E23" s="77" t="n">
        <v>7300</v>
      </c>
      <c r="F23" s="78" t="n">
        <v>100594</v>
      </c>
    </row>
    <row r="24">
      <c r="A24" s="84" t="inlineStr">
        <is>
          <t>2026-06-12</t>
        </is>
      </c>
      <c r="B24" s="5" t="inlineStr">
        <is>
          <t>518880</t>
        </is>
      </c>
      <c r="C24" s="4" t="inlineStr">
        <is>
          <t>华安黄金ETF</t>
        </is>
      </c>
      <c r="D24" s="85" t="n">
        <v>8.65</v>
      </c>
      <c r="E24" s="77" t="n">
        <v>8000</v>
      </c>
      <c r="F24" s="78" t="n">
        <v>69200</v>
      </c>
    </row>
  </sheetData>
  <autoFilter ref="A1:F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9"/>
  <sheetViews>
    <sheetView tabSelected="1" topLeftCell="A181" workbookViewId="0">
      <selection activeCell="I5" sqref="I5"/>
    </sheetView>
  </sheetViews>
  <sheetFormatPr baseColWidth="8" defaultColWidth="9" defaultRowHeight="14.4"/>
  <cols>
    <col width="11.8148148148148" customWidth="1" style="1" min="1" max="1"/>
    <col width="9.546296296296299" customWidth="1" style="1" min="2" max="2"/>
    <col width="10.6388888888889" customWidth="1" style="1" min="3" max="3"/>
    <col width="9.546296296296299" customWidth="1" style="1" min="4" max="4"/>
    <col width="8.546296296296299" customWidth="1" style="1" min="5" max="5"/>
    <col width="9.546296296296299" customWidth="1" style="1" min="6" max="7"/>
    <col width="7.5462962962963" customWidth="1" style="1" min="8" max="8"/>
    <col width="9.546296296296299" customWidth="1" style="1" min="9" max="10"/>
    <col width="8.546296296296299" customWidth="1" style="1" min="11" max="11"/>
    <col width="9.546296296296299" customWidth="1" style="1" min="12" max="13"/>
    <col width="7.5462962962963" customWidth="1" style="1" min="14" max="14"/>
    <col width="9.546296296296299" customWidth="1" style="1" min="15" max="15"/>
  </cols>
  <sheetData>
    <row r="1">
      <c r="A1" s="0" t="inlineStr">
        <is>
          <t>日期</t>
        </is>
      </c>
      <c r="B1" s="0" t="inlineStr">
        <is>
          <t>品种</t>
        </is>
      </c>
      <c r="C1" s="0" t="inlineStr">
        <is>
          <t>代码</t>
        </is>
      </c>
      <c r="D1" s="0" t="inlineStr">
        <is>
          <t>持仓股数</t>
        </is>
      </c>
      <c r="E1" s="0" t="inlineStr">
        <is>
          <t>成本价</t>
        </is>
      </c>
      <c r="F1" s="0" t="inlineStr">
        <is>
          <t>持仓成本</t>
        </is>
      </c>
      <c r="G1" s="0" t="inlineStr">
        <is>
          <t>今日收盘</t>
        </is>
      </c>
      <c r="H1" s="0" t="inlineStr">
        <is>
          <t>涨跌幅</t>
        </is>
      </c>
      <c r="I1" s="0" t="inlineStr">
        <is>
          <t>当前市值</t>
        </is>
      </c>
      <c r="J1" s="0" t="inlineStr">
        <is>
          <t>浮动盈亏</t>
        </is>
      </c>
      <c r="K1" s="0" t="inlineStr">
        <is>
          <t>盈亏%</t>
        </is>
      </c>
      <c r="L1" s="0" t="inlineStr">
        <is>
          <t>目标权重</t>
        </is>
      </c>
      <c r="M1" s="0" t="inlineStr">
        <is>
          <t>实际权重</t>
        </is>
      </c>
      <c r="N1" s="0" t="inlineStr">
        <is>
          <t>偏离</t>
        </is>
      </c>
      <c r="O1" s="0" t="inlineStr">
        <is>
          <t>触发信号</t>
        </is>
      </c>
    </row>
    <row r="2">
      <c r="A2" s="0" t="inlineStr">
        <is>
          <t>2026-05-19</t>
        </is>
      </c>
      <c r="B2" s="0" t="inlineStr">
        <is>
          <t>五年国债</t>
        </is>
      </c>
      <c r="C2" s="0" t="inlineStr">
        <is>
          <t>511010.SH</t>
        </is>
      </c>
      <c r="D2" s="0" t="n">
        <v>800</v>
      </c>
      <c r="E2" s="0" t="n">
        <v>141.253</v>
      </c>
      <c r="F2" s="0" t="n">
        <v>113002.4</v>
      </c>
      <c r="G2" s="0" t="n">
        <v>141.247</v>
      </c>
      <c r="H2" s="0" t="inlineStr">
        <is>
          <t>+0.09%</t>
        </is>
      </c>
      <c r="I2" s="0" t="n">
        <v>53</v>
      </c>
      <c r="J2" s="0" t="n">
        <v>112997.6</v>
      </c>
      <c r="K2" s="0" t="n">
        <v>-4.8</v>
      </c>
      <c r="L2" s="0" t="inlineStr">
        <is>
          <t>-0.00%</t>
        </is>
      </c>
      <c r="M2" s="0" t="inlineStr">
        <is>
          <t>10%</t>
        </is>
      </c>
      <c r="N2" s="0" t="inlineStr">
        <is>
          <t>2.26%</t>
        </is>
      </c>
      <c r="O2" s="0" t="inlineStr">
        <is>
          <t>-7.7%</t>
        </is>
      </c>
      <c r="P2" s="0" t="inlineStr">
        <is>
          <t>—</t>
        </is>
      </c>
      <c r="Q2" s="0" t="inlineStr">
        <is>
          <t>—</t>
        </is>
      </c>
    </row>
    <row r="3">
      <c r="A3" s="0" t="inlineStr">
        <is>
          <t>2026-05-19</t>
        </is>
      </c>
      <c r="B3" s="0" t="inlineStr">
        <is>
          <t>短融</t>
        </is>
      </c>
      <c r="C3" s="0" t="inlineStr">
        <is>
          <t>511360.SH</t>
        </is>
      </c>
      <c r="D3" s="0" t="n">
        <v>2200</v>
      </c>
      <c r="E3" s="0" t="n">
        <v>113.462</v>
      </c>
      <c r="F3" s="0" t="n">
        <v>249616.4</v>
      </c>
      <c r="G3" s="0" t="n">
        <v>113.471</v>
      </c>
      <c r="H3" s="0" t="inlineStr">
        <is>
          <t>+0.01%</t>
        </is>
      </c>
      <c r="I3" s="0" t="n">
        <v>1609</v>
      </c>
      <c r="J3" s="0" t="n">
        <v>249636.2</v>
      </c>
      <c r="K3" s="0" t="n">
        <v>19.8</v>
      </c>
      <c r="L3" s="0" t="inlineStr">
        <is>
          <t>0.01%</t>
        </is>
      </c>
      <c r="M3" s="0" t="inlineStr">
        <is>
          <t>5%</t>
        </is>
      </c>
      <c r="N3" s="0" t="inlineStr">
        <is>
          <t>4.99%</t>
        </is>
      </c>
      <c r="O3" s="0" t="inlineStr">
        <is>
          <t>-0.0%</t>
        </is>
      </c>
      <c r="P3" s="0" t="inlineStr">
        <is>
          <t>—</t>
        </is>
      </c>
      <c r="Q3" s="0" t="inlineStr">
        <is>
          <t>—</t>
        </is>
      </c>
    </row>
    <row r="4">
      <c r="A4" s="0" t="inlineStr">
        <is>
          <t>2026-05-19</t>
        </is>
      </c>
      <c r="B4" s="0" t="inlineStr">
        <is>
          <t>黄金</t>
        </is>
      </c>
      <c r="C4" s="0" t="inlineStr">
        <is>
          <t>518880.SH</t>
        </is>
      </c>
      <c r="D4" s="0" t="n">
        <v>15800</v>
      </c>
      <c r="E4" s="0" t="n">
        <v>9.497999999999999</v>
      </c>
      <c r="F4" s="0" t="n">
        <v>150068.4</v>
      </c>
      <c r="G4" s="0" t="n">
        <v>9.515000000000001</v>
      </c>
      <c r="H4" s="0" t="inlineStr">
        <is>
          <t>+0.02%</t>
        </is>
      </c>
      <c r="I4" s="0" t="n">
        <v>252</v>
      </c>
      <c r="J4" s="0" t="n">
        <v>150337</v>
      </c>
      <c r="K4" s="0" t="n">
        <v>268.6</v>
      </c>
      <c r="L4" s="0" t="inlineStr">
        <is>
          <t>0.18%</t>
        </is>
      </c>
      <c r="M4" s="0" t="inlineStr">
        <is>
          <t>15%</t>
        </is>
      </c>
      <c r="N4" s="0" t="inlineStr">
        <is>
          <t>3.01%</t>
        </is>
      </c>
      <c r="O4" s="0" t="inlineStr">
        <is>
          <t>-12.0%</t>
        </is>
      </c>
      <c r="P4" s="0" t="inlineStr">
        <is>
          <t>—</t>
        </is>
      </c>
      <c r="Q4" s="0" t="inlineStr">
        <is>
          <t>—</t>
        </is>
      </c>
    </row>
    <row r="5">
      <c r="A5" s="0" t="inlineStr">
        <is>
          <t>2026-05-20</t>
        </is>
      </c>
      <c r="B5" s="0" t="inlineStr">
        <is>
          <t>五年国债</t>
        </is>
      </c>
      <c r="C5" s="0" t="inlineStr">
        <is>
          <t>511010.SH</t>
        </is>
      </c>
      <c r="D5" s="0" t="n">
        <v>800</v>
      </c>
      <c r="E5" s="0" t="n">
        <v>141.253</v>
      </c>
      <c r="F5" s="0" t="n">
        <v>494242.35</v>
      </c>
      <c r="G5" s="0" t="n">
        <v>141.278</v>
      </c>
      <c r="H5" s="0" t="inlineStr">
        <is>
          <t>+0.02%</t>
        </is>
      </c>
      <c r="I5" s="0" t="n">
        <v>21</v>
      </c>
      <c r="J5" s="0" t="n">
        <v>494473</v>
      </c>
      <c r="K5" s="0" t="n">
        <v>230.65</v>
      </c>
      <c r="L5" s="0" t="inlineStr">
        <is>
          <t>0.05%</t>
        </is>
      </c>
      <c r="M5" s="0" t="inlineStr">
        <is>
          <t>10%</t>
        </is>
      </c>
      <c r="N5" s="0" t="inlineStr">
        <is>
          <t>10.42%</t>
        </is>
      </c>
      <c r="O5" s="0" t="inlineStr">
        <is>
          <t>+0.4%</t>
        </is>
      </c>
      <c r="P5" s="0" t="inlineStr">
        <is>
          <t>—</t>
        </is>
      </c>
      <c r="Q5" s="0" t="inlineStr">
        <is>
          <t>—</t>
        </is>
      </c>
    </row>
    <row r="6">
      <c r="A6" s="0" t="inlineStr">
        <is>
          <t>2026-05-20</t>
        </is>
      </c>
      <c r="B6" s="0" t="inlineStr">
        <is>
          <t>短融</t>
        </is>
      </c>
      <c r="C6" s="0" t="inlineStr">
        <is>
          <t>511360.SH</t>
        </is>
      </c>
      <c r="D6" s="0" t="n">
        <v>2200</v>
      </c>
      <c r="E6" s="0" t="n">
        <v>113.462</v>
      </c>
      <c r="F6" s="0" t="n">
        <v>249616.4</v>
      </c>
      <c r="G6" s="0" t="n">
        <v>113.483</v>
      </c>
      <c r="H6" s="0" t="inlineStr">
        <is>
          <t>+0.01%</t>
        </is>
      </c>
      <c r="I6" s="0" t="n">
        <v>1301</v>
      </c>
      <c r="J6" s="0" t="n">
        <v>249662.6</v>
      </c>
      <c r="K6" s="0" t="n">
        <v>46.2</v>
      </c>
      <c r="L6" s="0" t="inlineStr">
        <is>
          <t>0.02%</t>
        </is>
      </c>
      <c r="M6" s="0" t="inlineStr">
        <is>
          <t>5%</t>
        </is>
      </c>
      <c r="N6" s="0" t="inlineStr">
        <is>
          <t>5.26%</t>
        </is>
      </c>
      <c r="O6" s="0" t="inlineStr">
        <is>
          <t>+0.3%</t>
        </is>
      </c>
      <c r="P6" s="0" t="inlineStr">
        <is>
          <t>—</t>
        </is>
      </c>
      <c r="Q6" s="0" t="inlineStr">
        <is>
          <t>—</t>
        </is>
      </c>
    </row>
    <row r="7">
      <c r="A7" s="0" t="inlineStr">
        <is>
          <t>2026-05-20</t>
        </is>
      </c>
      <c r="B7" s="0" t="inlineStr">
        <is>
          <t>黄金</t>
        </is>
      </c>
      <c r="C7" s="0" t="inlineStr">
        <is>
          <t>518880.SH</t>
        </is>
      </c>
      <c r="D7" s="0" t="n">
        <v>15800</v>
      </c>
      <c r="E7" s="0" t="n">
        <v>9.497999999999999</v>
      </c>
      <c r="F7" s="0" t="n">
        <v>150068.4</v>
      </c>
      <c r="G7" s="0" t="n">
        <v>9.367000000000001</v>
      </c>
      <c r="H7" s="0" t="inlineStr">
        <is>
          <t>-1.56%</t>
        </is>
      </c>
      <c r="I7" s="0" t="n">
        <v>511</v>
      </c>
      <c r="J7" s="0" t="n">
        <v>147998.6</v>
      </c>
      <c r="K7" s="0" t="n">
        <v>-2069.8</v>
      </c>
      <c r="L7" s="0" t="inlineStr">
        <is>
          <t>-1.38%</t>
        </is>
      </c>
      <c r="M7" s="0" t="inlineStr">
        <is>
          <t>15%</t>
        </is>
      </c>
      <c r="N7" s="0" t="inlineStr">
        <is>
          <t>3.12%</t>
        </is>
      </c>
      <c r="O7" s="0" t="inlineStr">
        <is>
          <t>-11.9%</t>
        </is>
      </c>
      <c r="P7" s="0" t="inlineStr">
        <is>
          <t>—</t>
        </is>
      </c>
      <c r="Q7" s="0" t="inlineStr">
        <is>
          <t>—</t>
        </is>
      </c>
    </row>
    <row r="8">
      <c r="A8" s="0" t="inlineStr">
        <is>
          <t>2026-05-21</t>
        </is>
      </c>
      <c r="B8" s="0" t="inlineStr">
        <is>
          <t>沪深300</t>
        </is>
      </c>
      <c r="C8" s="0" t="inlineStr">
        <is>
          <t>510300.SH</t>
        </is>
      </c>
      <c r="D8" s="0" t="n">
        <v>110000</v>
      </c>
      <c r="E8" s="0" t="n">
        <v>4.914</v>
      </c>
      <c r="F8" s="0" t="n">
        <v>540540</v>
      </c>
      <c r="G8" s="0" t="n">
        <v>4.808</v>
      </c>
      <c r="H8" s="0" t="inlineStr">
        <is>
          <t>-1.29%</t>
        </is>
      </c>
      <c r="I8" s="0" t="n">
        <v>591</v>
      </c>
      <c r="J8" s="0" t="n">
        <v>528880</v>
      </c>
      <c r="K8" s="0" t="n">
        <v>-11660</v>
      </c>
      <c r="L8" s="0" t="inlineStr">
        <is>
          <t>-2.16%</t>
        </is>
      </c>
      <c r="M8" s="0" t="inlineStr">
        <is>
          <t>15%</t>
        </is>
      </c>
      <c r="N8" s="0" t="inlineStr">
        <is>
          <t>10.63%</t>
        </is>
      </c>
      <c r="O8" s="0" t="inlineStr">
        <is>
          <t>-4.4%</t>
        </is>
      </c>
      <c r="P8" s="0" t="inlineStr">
        <is>
          <t>—</t>
        </is>
      </c>
      <c r="Q8" s="0" t="inlineStr">
        <is>
          <t>—</t>
        </is>
      </c>
    </row>
    <row r="9">
      <c r="A9" s="0" t="inlineStr">
        <is>
          <t>2026-05-21</t>
        </is>
      </c>
      <c r="B9" s="0" t="inlineStr">
        <is>
          <t>中证500</t>
        </is>
      </c>
      <c r="C9" s="0" t="inlineStr">
        <is>
          <t>510500.SH</t>
        </is>
      </c>
      <c r="D9" s="0" t="n">
        <v>20000</v>
      </c>
      <c r="E9" s="0" t="n">
        <v>8.696</v>
      </c>
      <c r="F9" s="0" t="n">
        <v>173920</v>
      </c>
      <c r="G9" s="0" t="n">
        <v>8.503</v>
      </c>
      <c r="H9" s="0" t="inlineStr">
        <is>
          <t>-2.80%</t>
        </is>
      </c>
      <c r="I9" s="0" t="n">
        <v>467</v>
      </c>
      <c r="J9" s="0" t="n">
        <v>170060</v>
      </c>
      <c r="K9" s="0" t="n">
        <v>-3860</v>
      </c>
      <c r="L9" s="0" t="inlineStr">
        <is>
          <t>-2.22%</t>
        </is>
      </c>
      <c r="M9" s="0" t="inlineStr">
        <is>
          <t>10%</t>
        </is>
      </c>
      <c r="N9" s="0" t="inlineStr">
        <is>
          <t>3.42%</t>
        </is>
      </c>
      <c r="O9" s="0" t="inlineStr">
        <is>
          <t>-6.6%</t>
        </is>
      </c>
      <c r="P9" s="0" t="inlineStr">
        <is>
          <t>—</t>
        </is>
      </c>
      <c r="Q9" s="0" t="inlineStr">
        <is>
          <t>—</t>
        </is>
      </c>
    </row>
    <row r="10">
      <c r="A10" s="0" t="inlineStr">
        <is>
          <t>2026-05-21</t>
        </is>
      </c>
      <c r="B10" s="0" t="inlineStr">
        <is>
          <t>科创50</t>
        </is>
      </c>
      <c r="C10" s="0" t="inlineStr">
        <is>
          <t>588050.SH</t>
        </is>
      </c>
      <c r="D10" s="0" t="n">
        <v>60000</v>
      </c>
      <c r="E10" s="0" t="n">
        <v>1.838</v>
      </c>
      <c r="F10" s="0" t="n">
        <v>110280</v>
      </c>
      <c r="G10" s="0" t="n">
        <v>1.811</v>
      </c>
      <c r="H10" s="0" t="inlineStr">
        <is>
          <t>-3.67%</t>
        </is>
      </c>
      <c r="I10" s="0" t="n">
        <v>75</v>
      </c>
      <c r="J10" s="0" t="n">
        <v>108660</v>
      </c>
      <c r="K10" s="0" t="n">
        <v>-1620</v>
      </c>
      <c r="L10" s="0" t="inlineStr">
        <is>
          <t>-1.47%</t>
        </is>
      </c>
      <c r="M10" s="0" t="inlineStr">
        <is>
          <t>5%</t>
        </is>
      </c>
      <c r="N10" s="0" t="inlineStr">
        <is>
          <t>2.18%</t>
        </is>
      </c>
      <c r="O10" s="0" t="inlineStr">
        <is>
          <t>-2.8%</t>
        </is>
      </c>
      <c r="P10" s="0" t="inlineStr">
        <is>
          <t>—</t>
        </is>
      </c>
      <c r="Q10" s="0" t="inlineStr">
        <is>
          <t>—</t>
        </is>
      </c>
    </row>
    <row r="11">
      <c r="A11" s="0" t="inlineStr">
        <is>
          <t>2026-05-21</t>
        </is>
      </c>
      <c r="B11" s="0" t="inlineStr">
        <is>
          <t>创业板</t>
        </is>
      </c>
      <c r="C11" s="0" t="inlineStr">
        <is>
          <t>159915.SZ</t>
        </is>
      </c>
      <c r="D11" s="0" t="n">
        <v>63000</v>
      </c>
      <c r="E11" s="0" t="n">
        <v>3.968</v>
      </c>
      <c r="F11" s="0" t="n">
        <v>249984</v>
      </c>
      <c r="G11" s="0" t="n">
        <v>3.846</v>
      </c>
      <c r="H11" s="0" t="inlineStr">
        <is>
          <t>-2.19%</t>
        </is>
      </c>
      <c r="I11" s="0" t="n">
        <v>722</v>
      </c>
      <c r="J11" s="0" t="n">
        <v>242298</v>
      </c>
      <c r="K11" s="0" t="n">
        <v>-7686</v>
      </c>
      <c r="L11" s="0" t="inlineStr">
        <is>
          <t>-3.07%</t>
        </is>
      </c>
      <c r="M11" s="0" t="inlineStr">
        <is>
          <t>5%</t>
        </is>
      </c>
      <c r="N11" s="0" t="inlineStr">
        <is>
          <t>4.87%</t>
        </is>
      </c>
      <c r="O11" s="0" t="inlineStr">
        <is>
          <t>-0.1%</t>
        </is>
      </c>
      <c r="P11" s="0" t="inlineStr">
        <is>
          <t>—</t>
        </is>
      </c>
      <c r="Q11" s="0" t="inlineStr">
        <is>
          <t>—</t>
        </is>
      </c>
    </row>
    <row r="12">
      <c r="A12" s="0" t="inlineStr">
        <is>
          <t>2026-05-21</t>
        </is>
      </c>
      <c r="B12" s="0" t="inlineStr">
        <is>
          <t>十年国债</t>
        </is>
      </c>
      <c r="C12" s="0" t="inlineStr">
        <is>
          <t>511260.SH</t>
        </is>
      </c>
      <c r="D12" s="0" t="n">
        <v>3700</v>
      </c>
      <c r="E12" s="0" t="n">
        <v>135.645</v>
      </c>
      <c r="F12" s="0" t="n">
        <v>501886.5</v>
      </c>
      <c r="G12" s="0" t="n">
        <v>135.522</v>
      </c>
      <c r="H12" s="0" t="inlineStr">
        <is>
          <t>-0.09%</t>
        </is>
      </c>
      <c r="I12" s="0" t="n">
        <v>277</v>
      </c>
      <c r="J12" s="0" t="n">
        <v>501431.4</v>
      </c>
      <c r="K12" s="0" t="n">
        <v>-455.1</v>
      </c>
      <c r="L12" s="0" t="inlineStr">
        <is>
          <t>-0.09%</t>
        </is>
      </c>
      <c r="M12" s="0" t="inlineStr">
        <is>
          <t>10%</t>
        </is>
      </c>
      <c r="N12" s="0" t="inlineStr">
        <is>
          <t>10.08%</t>
        </is>
      </c>
      <c r="O12" s="0" t="inlineStr">
        <is>
          <t>+0.1%</t>
        </is>
      </c>
      <c r="P12" s="0" t="inlineStr">
        <is>
          <t>—</t>
        </is>
      </c>
      <c r="Q12" s="0" t="inlineStr">
        <is>
          <t>—</t>
        </is>
      </c>
    </row>
    <row r="13">
      <c r="A13" s="0" t="inlineStr">
        <is>
          <t>2026-05-21</t>
        </is>
      </c>
      <c r="B13" s="0" t="inlineStr">
        <is>
          <t>五年国债</t>
        </is>
      </c>
      <c r="C13" s="0" t="inlineStr">
        <is>
          <t>511010.SH</t>
        </is>
      </c>
      <c r="D13" s="0" t="n">
        <v>3500</v>
      </c>
      <c r="E13" s="0" t="n">
        <v>141.2121</v>
      </c>
      <c r="F13" s="0" t="n">
        <v>494242.35</v>
      </c>
      <c r="G13" s="0" t="n">
        <v>141.191</v>
      </c>
      <c r="H13" s="0" t="inlineStr">
        <is>
          <t>-0.06%</t>
        </is>
      </c>
      <c r="I13" s="0" t="n">
        <v>28</v>
      </c>
      <c r="J13" s="0" t="n">
        <v>494168.5</v>
      </c>
      <c r="K13" s="0" t="n">
        <v>-73.84999999999999</v>
      </c>
      <c r="L13" s="0" t="inlineStr">
        <is>
          <t>-0.01%</t>
        </is>
      </c>
      <c r="M13" s="0" t="inlineStr">
        <is>
          <t>10%</t>
        </is>
      </c>
      <c r="N13" s="0" t="inlineStr">
        <is>
          <t>9.94%</t>
        </is>
      </c>
      <c r="O13" s="0" t="inlineStr">
        <is>
          <t>-0.1%</t>
        </is>
      </c>
      <c r="P13" s="0" t="inlineStr">
        <is>
          <t>—</t>
        </is>
      </c>
      <c r="Q13" s="0" t="inlineStr">
        <is>
          <t>—</t>
        </is>
      </c>
    </row>
    <row r="14">
      <c r="A14" s="0" t="inlineStr">
        <is>
          <t>2026-05-21</t>
        </is>
      </c>
      <c r="B14" s="0" t="inlineStr">
        <is>
          <t>短融</t>
        </is>
      </c>
      <c r="C14" s="0" t="inlineStr">
        <is>
          <t>511360.SH</t>
        </is>
      </c>
      <c r="D14" s="0" t="n">
        <v>2200</v>
      </c>
      <c r="E14" s="0" t="n">
        <v>113.462</v>
      </c>
      <c r="F14" s="0" t="n">
        <v>249616.4</v>
      </c>
      <c r="G14" s="0" t="n">
        <v>113.49</v>
      </c>
      <c r="H14" s="0" t="inlineStr">
        <is>
          <t>+0.01%</t>
        </is>
      </c>
      <c r="I14" s="0" t="n">
        <v>1156</v>
      </c>
      <c r="J14" s="0" t="n">
        <v>249678</v>
      </c>
      <c r="K14" s="0" t="n">
        <v>61.6</v>
      </c>
      <c r="L14" s="0" t="inlineStr">
        <is>
          <t>0.02%</t>
        </is>
      </c>
      <c r="M14" s="0" t="inlineStr">
        <is>
          <t>5%</t>
        </is>
      </c>
      <c r="N14" s="0" t="inlineStr">
        <is>
          <t>5.02%</t>
        </is>
      </c>
      <c r="O14" s="0" t="inlineStr">
        <is>
          <t>+0.0%</t>
        </is>
      </c>
      <c r="P14" s="0" t="inlineStr">
        <is>
          <t>—</t>
        </is>
      </c>
      <c r="Q14" s="0" t="inlineStr">
        <is>
          <t>—</t>
        </is>
      </c>
    </row>
    <row r="15">
      <c r="A15" s="0" t="inlineStr">
        <is>
          <t>2026-05-21</t>
        </is>
      </c>
      <c r="B15" s="0" t="inlineStr">
        <is>
          <t>黄金</t>
        </is>
      </c>
      <c r="C15" s="0" t="inlineStr">
        <is>
          <t>518880.SH</t>
        </is>
      </c>
      <c r="D15" s="0" t="n">
        <v>15800</v>
      </c>
      <c r="E15" s="0" t="n">
        <v>9.497999999999999</v>
      </c>
      <c r="F15" s="0" t="n">
        <v>150068.4</v>
      </c>
      <c r="G15" s="0" t="n">
        <v>9.449999999999999</v>
      </c>
      <c r="H15" s="0" t="inlineStr">
        <is>
          <t>+0.89%</t>
        </is>
      </c>
      <c r="I15" s="0" t="n">
        <v>321</v>
      </c>
      <c r="J15" s="0" t="n">
        <v>149310</v>
      </c>
      <c r="K15" s="0" t="n">
        <v>-758.4</v>
      </c>
      <c r="L15" s="0" t="inlineStr">
        <is>
          <t>-0.51%</t>
        </is>
      </c>
      <c r="M15" s="0" t="inlineStr">
        <is>
          <t>15%</t>
        </is>
      </c>
      <c r="N15" s="0" t="inlineStr">
        <is>
          <t>3.00%</t>
        </is>
      </c>
      <c r="O15" s="0" t="inlineStr">
        <is>
          <t>-12.0%</t>
        </is>
      </c>
      <c r="P15" s="0" t="inlineStr">
        <is>
          <t>—</t>
        </is>
      </c>
      <c r="Q15" s="0" t="inlineStr">
        <is>
          <t>—</t>
        </is>
      </c>
    </row>
    <row r="16">
      <c r="A16" s="0" t="inlineStr">
        <is>
          <t>2026-05-22</t>
        </is>
      </c>
      <c r="B16" s="0" t="inlineStr">
        <is>
          <t>沪深300</t>
        </is>
      </c>
      <c r="C16" s="0" t="inlineStr">
        <is>
          <t>510300.SH</t>
        </is>
      </c>
      <c r="D16" s="0" t="n">
        <v>110000</v>
      </c>
      <c r="E16" s="0" t="n">
        <v>4.914</v>
      </c>
      <c r="F16" s="0" t="n">
        <v>540540</v>
      </c>
      <c r="G16" s="0" t="n">
        <v>4.862</v>
      </c>
      <c r="H16" s="0" t="inlineStr">
        <is>
          <t>+1.12%</t>
        </is>
      </c>
      <c r="I16" s="0" t="n">
        <v>642</v>
      </c>
      <c r="J16" s="0" t="n">
        <v>534820</v>
      </c>
      <c r="K16" s="0" t="n">
        <v>-5720</v>
      </c>
      <c r="L16" s="0" t="inlineStr">
        <is>
          <t>-1.06%</t>
        </is>
      </c>
      <c r="M16" s="0" t="inlineStr">
        <is>
          <t>15%</t>
        </is>
      </c>
      <c r="N16" s="0" t="inlineStr">
        <is>
          <t>10.72%</t>
        </is>
      </c>
      <c r="O16" s="0" t="inlineStr">
        <is>
          <t>-4.3%</t>
        </is>
      </c>
      <c r="P16" s="0" t="inlineStr">
        <is>
          <t>—</t>
        </is>
      </c>
      <c r="Q16" s="0" t="inlineStr">
        <is>
          <t>—</t>
        </is>
      </c>
    </row>
    <row r="17">
      <c r="A17" s="0" t="inlineStr">
        <is>
          <t>2026-05-22</t>
        </is>
      </c>
      <c r="B17" s="0" t="inlineStr">
        <is>
          <t>中证500</t>
        </is>
      </c>
      <c r="C17" s="0" t="inlineStr">
        <is>
          <t>510500.SH</t>
        </is>
      </c>
      <c r="D17" s="0" t="n">
        <v>20000</v>
      </c>
      <c r="E17" s="0" t="n">
        <v>8.696</v>
      </c>
      <c r="F17" s="0" t="n">
        <v>173920</v>
      </c>
      <c r="G17" s="0" t="n">
        <v>8.657999999999999</v>
      </c>
      <c r="H17" s="0" t="inlineStr">
        <is>
          <t>+1.82%</t>
        </is>
      </c>
      <c r="I17" s="0" t="n">
        <v>682</v>
      </c>
      <c r="J17" s="0" t="n">
        <v>173160</v>
      </c>
      <c r="K17" s="0" t="n">
        <v>-760</v>
      </c>
      <c r="L17" s="0" t="inlineStr">
        <is>
          <t>-0.44%</t>
        </is>
      </c>
      <c r="M17" s="0" t="inlineStr">
        <is>
          <t>10%</t>
        </is>
      </c>
      <c r="N17" s="0" t="inlineStr">
        <is>
          <t>3.47%</t>
        </is>
      </c>
      <c r="O17" s="0" t="inlineStr">
        <is>
          <t>-6.5%</t>
        </is>
      </c>
      <c r="P17" s="0" t="inlineStr">
        <is>
          <t>—</t>
        </is>
      </c>
      <c r="Q17" s="0" t="inlineStr">
        <is>
          <t>—</t>
        </is>
      </c>
    </row>
    <row r="18">
      <c r="A18" s="0" t="inlineStr">
        <is>
          <t>2026-05-22</t>
        </is>
      </c>
      <c r="B18" s="0" t="inlineStr">
        <is>
          <t>科创50</t>
        </is>
      </c>
      <c r="C18" s="0" t="inlineStr">
        <is>
          <t>588050.SH</t>
        </is>
      </c>
      <c r="D18" s="0" t="n">
        <v>60000</v>
      </c>
      <c r="E18" s="0" t="n">
        <v>1.838</v>
      </c>
      <c r="F18" s="0" t="n">
        <v>110280</v>
      </c>
      <c r="G18" s="0" t="n">
        <v>1.838</v>
      </c>
      <c r="H18" s="0" t="inlineStr">
        <is>
          <t>+1.49%</t>
        </is>
      </c>
      <c r="I18" s="0" t="n">
        <v>92</v>
      </c>
      <c r="J18" s="0" t="n">
        <v>110280</v>
      </c>
      <c r="K18" s="0" t="n">
        <v>0</v>
      </c>
      <c r="L18" s="0" t="inlineStr">
        <is>
          <t>0.00%</t>
        </is>
      </c>
      <c r="M18" s="0" t="inlineStr">
        <is>
          <t>5%</t>
        </is>
      </c>
      <c r="N18" s="0" t="inlineStr">
        <is>
          <t>2.21%</t>
        </is>
      </c>
      <c r="O18" s="0" t="inlineStr">
        <is>
          <t>-2.8%</t>
        </is>
      </c>
      <c r="P18" s="0" t="inlineStr">
        <is>
          <t>—</t>
        </is>
      </c>
      <c r="Q18" s="0" t="inlineStr">
        <is>
          <t>—</t>
        </is>
      </c>
    </row>
    <row r="19">
      <c r="A19" s="0" t="inlineStr">
        <is>
          <t>2026-05-22</t>
        </is>
      </c>
      <c r="B19" s="0" t="inlineStr">
        <is>
          <t>创业板</t>
        </is>
      </c>
      <c r="C19" s="0" t="inlineStr">
        <is>
          <t>159915.SZ</t>
        </is>
      </c>
      <c r="D19" s="0" t="n">
        <v>63000</v>
      </c>
      <c r="E19" s="0" t="n">
        <v>3.968</v>
      </c>
      <c r="F19" s="0" t="n">
        <v>249984</v>
      </c>
      <c r="G19" s="0" t="n">
        <v>3.946</v>
      </c>
      <c r="H19" s="0" t="inlineStr">
        <is>
          <t>+2.60%</t>
        </is>
      </c>
      <c r="I19" s="0" t="n">
        <v>566</v>
      </c>
      <c r="J19" s="0" t="n">
        <v>248598</v>
      </c>
      <c r="K19" s="0" t="n">
        <v>-1386</v>
      </c>
      <c r="L19" s="0" t="inlineStr">
        <is>
          <t>-0.55%</t>
        </is>
      </c>
      <c r="M19" s="0" t="inlineStr">
        <is>
          <t>5%</t>
        </is>
      </c>
      <c r="N19" s="0" t="inlineStr">
        <is>
          <t>4.98%</t>
        </is>
      </c>
      <c r="O19" s="0" t="inlineStr">
        <is>
          <t>-0.0%</t>
        </is>
      </c>
      <c r="P19" s="0" t="inlineStr">
        <is>
          <t>—</t>
        </is>
      </c>
      <c r="Q19" s="0" t="inlineStr">
        <is>
          <t>—</t>
        </is>
      </c>
    </row>
    <row r="20">
      <c r="A20" s="0" t="inlineStr">
        <is>
          <t>2026-05-22</t>
        </is>
      </c>
      <c r="B20" s="0" t="inlineStr">
        <is>
          <t>十年国债</t>
        </is>
      </c>
      <c r="C20" s="0" t="inlineStr">
        <is>
          <t>511260.SH</t>
        </is>
      </c>
      <c r="D20" s="0" t="n">
        <v>3700</v>
      </c>
      <c r="E20" s="0" t="n">
        <v>135.645</v>
      </c>
      <c r="F20" s="0" t="n">
        <v>501886.5</v>
      </c>
      <c r="G20" s="0" t="n">
        <v>135.475</v>
      </c>
      <c r="H20" s="0" t="inlineStr">
        <is>
          <t>-0.03%</t>
        </is>
      </c>
      <c r="I20" s="0" t="n">
        <v>623</v>
      </c>
      <c r="J20" s="0" t="n">
        <v>501257.5</v>
      </c>
      <c r="K20" s="0" t="n">
        <v>-629</v>
      </c>
      <c r="L20" s="0" t="inlineStr">
        <is>
          <t>-0.13%</t>
        </is>
      </c>
      <c r="M20" s="0" t="inlineStr">
        <is>
          <t>10%</t>
        </is>
      </c>
      <c r="N20" s="0" t="inlineStr">
        <is>
          <t>10.04%</t>
        </is>
      </c>
      <c r="O20" s="0" t="inlineStr">
        <is>
          <t>+0.0%</t>
        </is>
      </c>
      <c r="P20" s="0" t="inlineStr">
        <is>
          <t>—</t>
        </is>
      </c>
      <c r="Q20" s="0" t="inlineStr">
        <is>
          <t>—</t>
        </is>
      </c>
    </row>
    <row r="21">
      <c r="A21" s="0" t="inlineStr">
        <is>
          <t>2026-05-22</t>
        </is>
      </c>
      <c r="B21" s="0" t="inlineStr">
        <is>
          <t>五年国债</t>
        </is>
      </c>
      <c r="C21" s="0" t="inlineStr">
        <is>
          <t>511010.SH</t>
        </is>
      </c>
      <c r="D21" s="0" t="n">
        <v>3500</v>
      </c>
      <c r="E21" s="0" t="n">
        <v>141.2121</v>
      </c>
      <c r="F21" s="0" t="n">
        <v>494242.35</v>
      </c>
      <c r="G21" s="0" t="n">
        <v>141.204</v>
      </c>
      <c r="H21" s="0" t="inlineStr">
        <is>
          <t>+0.01%</t>
        </is>
      </c>
      <c r="I21" s="0" t="n">
        <v>15</v>
      </c>
      <c r="J21" s="0" t="n">
        <v>494214</v>
      </c>
      <c r="K21" s="0" t="n">
        <v>-28.35</v>
      </c>
      <c r="L21" s="0" t="inlineStr">
        <is>
          <t>-0.01%</t>
        </is>
      </c>
      <c r="M21" s="0" t="inlineStr">
        <is>
          <t>10%</t>
        </is>
      </c>
      <c r="N21" s="0" t="inlineStr">
        <is>
          <t>9.90%</t>
        </is>
      </c>
      <c r="O21" s="0" t="inlineStr">
        <is>
          <t>-0.1%</t>
        </is>
      </c>
      <c r="P21" s="0" t="inlineStr">
        <is>
          <t>—</t>
        </is>
      </c>
      <c r="Q21" s="0" t="inlineStr">
        <is>
          <t>—</t>
        </is>
      </c>
    </row>
    <row r="22">
      <c r="A22" s="0" t="inlineStr">
        <is>
          <t>2026-05-22</t>
        </is>
      </c>
      <c r="B22" s="0" t="inlineStr">
        <is>
          <t>短融</t>
        </is>
      </c>
      <c r="C22" s="0" t="inlineStr">
        <is>
          <t>511360.SH</t>
        </is>
      </c>
      <c r="D22" s="0" t="n">
        <v>2200</v>
      </c>
      <c r="E22" s="0" t="n">
        <v>113.462</v>
      </c>
      <c r="F22" s="0" t="n">
        <v>249616.4</v>
      </c>
      <c r="G22" s="0" t="n">
        <v>113.499</v>
      </c>
      <c r="H22" s="0" t="inlineStr">
        <is>
          <t>+0.01%</t>
        </is>
      </c>
      <c r="I22" s="0" t="n">
        <v>1312</v>
      </c>
      <c r="J22" s="0" t="n">
        <v>249697.8</v>
      </c>
      <c r="K22" s="0" t="n">
        <v>81.40000000000001</v>
      </c>
      <c r="L22" s="0" t="inlineStr">
        <is>
          <t>0.03%</t>
        </is>
      </c>
      <c r="M22" s="0" t="inlineStr">
        <is>
          <t>5%</t>
        </is>
      </c>
      <c r="N22" s="0" t="inlineStr">
        <is>
          <t>5.00%</t>
        </is>
      </c>
      <c r="O22" s="0" t="inlineStr">
        <is>
          <t>+0.0%</t>
        </is>
      </c>
      <c r="P22" s="0" t="inlineStr">
        <is>
          <t>—</t>
        </is>
      </c>
      <c r="Q22" s="0" t="inlineStr">
        <is>
          <t>—</t>
        </is>
      </c>
    </row>
    <row r="23">
      <c r="A23" s="0" t="inlineStr">
        <is>
          <t>2026-05-22</t>
        </is>
      </c>
      <c r="B23" s="0" t="inlineStr">
        <is>
          <t>黄金</t>
        </is>
      </c>
      <c r="C23" s="0" t="inlineStr">
        <is>
          <t>518880.SH</t>
        </is>
      </c>
      <c r="D23" s="0" t="n">
        <v>15800</v>
      </c>
      <c r="E23" s="0" t="n">
        <v>9.497999999999999</v>
      </c>
      <c r="F23" s="0" t="n">
        <v>150068.4</v>
      </c>
      <c r="G23" s="0" t="n">
        <v>9.461</v>
      </c>
      <c r="H23" s="0" t="inlineStr">
        <is>
          <t>+0.12%</t>
        </is>
      </c>
      <c r="I23" s="0" t="n">
        <v>257</v>
      </c>
      <c r="J23" s="0" t="n">
        <v>149483.8</v>
      </c>
      <c r="K23" s="0" t="n">
        <v>-584.6</v>
      </c>
      <c r="L23" s="0" t="inlineStr">
        <is>
          <t>-0.39%</t>
        </is>
      </c>
      <c r="M23" s="0" t="inlineStr">
        <is>
          <t>15%</t>
        </is>
      </c>
      <c r="N23" s="0" t="inlineStr">
        <is>
          <t>3.00%</t>
        </is>
      </c>
      <c r="O23" s="0" t="inlineStr">
        <is>
          <t>-12.0%</t>
        </is>
      </c>
      <c r="P23" s="0" t="inlineStr">
        <is>
          <t>—</t>
        </is>
      </c>
      <c r="Q23" s="0" t="inlineStr">
        <is>
          <t>—</t>
        </is>
      </c>
    </row>
    <row r="24">
      <c r="A24" s="0" t="inlineStr">
        <is>
          <t>2026-05-25</t>
        </is>
      </c>
      <c r="B24" s="0" t="inlineStr">
        <is>
          <t>沪深300</t>
        </is>
      </c>
      <c r="C24" s="0" t="inlineStr">
        <is>
          <t>510300.SH</t>
        </is>
      </c>
      <c r="D24" s="0" t="n">
        <v>110000</v>
      </c>
      <c r="E24" s="0" t="n">
        <v>4.914</v>
      </c>
      <c r="F24" s="0" t="n">
        <v>540540</v>
      </c>
      <c r="G24" s="0" t="n">
        <v>4.937</v>
      </c>
      <c r="H24" s="0" t="inlineStr">
        <is>
          <t>+1.54%</t>
        </is>
      </c>
      <c r="I24" s="0" t="n">
        <v>797</v>
      </c>
      <c r="J24" s="0" t="n">
        <v>543070</v>
      </c>
      <c r="K24" s="0" t="n">
        <v>2530</v>
      </c>
      <c r="L24" s="0" t="inlineStr">
        <is>
          <t>0.47%</t>
        </is>
      </c>
      <c r="M24" s="0" t="inlineStr">
        <is>
          <t>15%</t>
        </is>
      </c>
      <c r="N24" s="0" t="inlineStr">
        <is>
          <t>10.83%</t>
        </is>
      </c>
      <c r="O24" s="0" t="inlineStr">
        <is>
          <t>-4.2%</t>
        </is>
      </c>
      <c r="P24" s="0" t="inlineStr">
        <is>
          <t>—</t>
        </is>
      </c>
      <c r="Q24" s="0" t="inlineStr">
        <is>
          <t>—</t>
        </is>
      </c>
    </row>
    <row r="25">
      <c r="A25" s="0" t="inlineStr">
        <is>
          <t>2026-05-25</t>
        </is>
      </c>
      <c r="B25" s="0" t="inlineStr">
        <is>
          <t>中证500</t>
        </is>
      </c>
      <c r="C25" s="0" t="inlineStr">
        <is>
          <t>510500.SH</t>
        </is>
      </c>
      <c r="D25" s="0" t="n">
        <v>20000</v>
      </c>
      <c r="E25" s="0" t="n">
        <v>8.696</v>
      </c>
      <c r="F25" s="0" t="n">
        <v>173920</v>
      </c>
      <c r="G25" s="0" t="n">
        <v>8.786</v>
      </c>
      <c r="H25" s="0" t="inlineStr">
        <is>
          <t>+1.48%</t>
        </is>
      </c>
      <c r="I25" s="0" t="n">
        <v>529</v>
      </c>
      <c r="J25" s="0" t="n">
        <v>175720</v>
      </c>
      <c r="K25" s="0" t="n">
        <v>1800</v>
      </c>
      <c r="L25" s="0" t="inlineStr">
        <is>
          <t>1.03%</t>
        </is>
      </c>
      <c r="M25" s="0" t="inlineStr">
        <is>
          <t>10%</t>
        </is>
      </c>
      <c r="N25" s="0" t="inlineStr">
        <is>
          <t>3.50%</t>
        </is>
      </c>
      <c r="O25" s="0" t="inlineStr">
        <is>
          <t>-6.5%</t>
        </is>
      </c>
      <c r="P25" s="0" t="inlineStr">
        <is>
          <t>—</t>
        </is>
      </c>
      <c r="Q25" s="0" t="inlineStr">
        <is>
          <t>—</t>
        </is>
      </c>
    </row>
    <row r="26">
      <c r="A26" s="0" t="inlineStr">
        <is>
          <t>2026-05-25</t>
        </is>
      </c>
      <c r="B26" s="0" t="inlineStr">
        <is>
          <t>科创50</t>
        </is>
      </c>
      <c r="C26" s="0" t="inlineStr">
        <is>
          <t>588050.SH</t>
        </is>
      </c>
      <c r="D26" s="0" t="n">
        <v>60000</v>
      </c>
      <c r="E26" s="0" t="n">
        <v>1.838</v>
      </c>
      <c r="F26" s="0" t="n">
        <v>110280</v>
      </c>
      <c r="G26" s="0" t="n">
        <v>1.941</v>
      </c>
      <c r="H26" s="0" t="inlineStr">
        <is>
          <t>+5.60%</t>
        </is>
      </c>
      <c r="I26" s="0" t="n">
        <v>123</v>
      </c>
      <c r="J26" s="0" t="n">
        <v>116460</v>
      </c>
      <c r="K26" s="0" t="n">
        <v>6180</v>
      </c>
      <c r="L26" s="0" t="inlineStr">
        <is>
          <t>5.60%</t>
        </is>
      </c>
      <c r="M26" s="0" t="inlineStr">
        <is>
          <t>5%</t>
        </is>
      </c>
      <c r="N26" s="0" t="inlineStr">
        <is>
          <t>2.32%</t>
        </is>
      </c>
      <c r="O26" s="0" t="inlineStr">
        <is>
          <t>-2.7%</t>
        </is>
      </c>
      <c r="P26" s="0" t="inlineStr">
        <is>
          <t>—</t>
        </is>
      </c>
      <c r="Q26" s="0" t="inlineStr">
        <is>
          <t>—</t>
        </is>
      </c>
    </row>
    <row r="27">
      <c r="A27" s="0" t="inlineStr">
        <is>
          <t>2026-05-25</t>
        </is>
      </c>
      <c r="B27" s="0" t="inlineStr">
        <is>
          <t>创业板</t>
        </is>
      </c>
      <c r="C27" s="0" t="inlineStr">
        <is>
          <t>159915.SZ</t>
        </is>
      </c>
      <c r="D27" s="0" t="n">
        <v>63000</v>
      </c>
      <c r="E27" s="0" t="n">
        <v>3.968</v>
      </c>
      <c r="F27" s="0" t="n">
        <v>249984</v>
      </c>
      <c r="G27" s="0" t="n">
        <v>4.034</v>
      </c>
      <c r="H27" s="0" t="inlineStr">
        <is>
          <t>+2.23%</t>
        </is>
      </c>
      <c r="I27" s="0" t="n">
        <v>544</v>
      </c>
      <c r="J27" s="0" t="n">
        <v>254142</v>
      </c>
      <c r="K27" s="0" t="n">
        <v>4158</v>
      </c>
      <c r="L27" s="0" t="inlineStr">
        <is>
          <t>1.66%</t>
        </is>
      </c>
      <c r="M27" s="0" t="inlineStr">
        <is>
          <t>5%</t>
        </is>
      </c>
      <c r="N27" s="0" t="inlineStr">
        <is>
          <t>5.07%</t>
        </is>
      </c>
      <c r="O27" s="0" t="inlineStr">
        <is>
          <t>+0.1%</t>
        </is>
      </c>
      <c r="P27" s="0" t="inlineStr">
        <is>
          <t>—</t>
        </is>
      </c>
      <c r="Q27" s="0" t="inlineStr">
        <is>
          <t>—</t>
        </is>
      </c>
    </row>
    <row r="28">
      <c r="A28" s="0" t="inlineStr">
        <is>
          <t>2026-05-25</t>
        </is>
      </c>
      <c r="B28" s="0" t="inlineStr">
        <is>
          <t>十年国债</t>
        </is>
      </c>
      <c r="C28" s="0" t="inlineStr">
        <is>
          <t>511260.SH</t>
        </is>
      </c>
      <c r="D28" s="0" t="n">
        <v>3700</v>
      </c>
      <c r="E28" s="0" t="n">
        <v>135.645</v>
      </c>
      <c r="F28" s="0" t="n">
        <v>501886.5</v>
      </c>
      <c r="G28" s="0" t="n">
        <v>135.529</v>
      </c>
      <c r="H28" s="0" t="inlineStr">
        <is>
          <t>+0.04%</t>
        </is>
      </c>
      <c r="I28" s="0" t="n">
        <v>365</v>
      </c>
      <c r="J28" s="0" t="n">
        <v>501457.3</v>
      </c>
      <c r="K28" s="0" t="n">
        <v>-429.2</v>
      </c>
      <c r="L28" s="0" t="inlineStr">
        <is>
          <t>-0.09%</t>
        </is>
      </c>
      <c r="M28" s="0" t="inlineStr">
        <is>
          <t>10%</t>
        </is>
      </c>
      <c r="N28" s="0" t="inlineStr">
        <is>
          <t>10.00%</t>
        </is>
      </c>
      <c r="O28" s="0" t="inlineStr">
        <is>
          <t>+0.0%</t>
        </is>
      </c>
      <c r="P28" s="0" t="inlineStr">
        <is>
          <t>—</t>
        </is>
      </c>
      <c r="Q28" s="0" t="inlineStr">
        <is>
          <t>—</t>
        </is>
      </c>
    </row>
    <row r="29">
      <c r="A29" s="0" t="inlineStr">
        <is>
          <t>2026-05-25</t>
        </is>
      </c>
      <c r="B29" s="0" t="inlineStr">
        <is>
          <t>五年国债</t>
        </is>
      </c>
      <c r="C29" s="0" t="inlineStr">
        <is>
          <t>511010.SH</t>
        </is>
      </c>
      <c r="D29" s="0" t="n">
        <v>3500</v>
      </c>
      <c r="E29" s="0" t="n">
        <v>141.2121</v>
      </c>
      <c r="F29" s="0" t="n">
        <v>494242.35</v>
      </c>
      <c r="G29" s="0" t="n">
        <v>141.176</v>
      </c>
      <c r="H29" s="0" t="inlineStr">
        <is>
          <t>-0.02%</t>
        </is>
      </c>
      <c r="I29" s="0" t="n">
        <v>23</v>
      </c>
      <c r="J29" s="0" t="n">
        <v>494116</v>
      </c>
      <c r="K29" s="0" t="n">
        <v>-126.35</v>
      </c>
      <c r="L29" s="0" t="inlineStr">
        <is>
          <t>-0.03%</t>
        </is>
      </c>
      <c r="M29" s="0" t="inlineStr">
        <is>
          <t>10%</t>
        </is>
      </c>
      <c r="N29" s="0" t="inlineStr">
        <is>
          <t>9.85%</t>
        </is>
      </c>
      <c r="O29" s="0" t="inlineStr">
        <is>
          <t>-0.1%</t>
        </is>
      </c>
      <c r="P29" s="0" t="inlineStr">
        <is>
          <t>—</t>
        </is>
      </c>
      <c r="Q29" s="0" t="inlineStr">
        <is>
          <t>—</t>
        </is>
      </c>
    </row>
    <row r="30">
      <c r="A30" s="0" t="inlineStr">
        <is>
          <t>2026-05-25</t>
        </is>
      </c>
      <c r="B30" s="0" t="inlineStr">
        <is>
          <t>短融</t>
        </is>
      </c>
      <c r="C30" s="0" t="inlineStr">
        <is>
          <t>511360.SH</t>
        </is>
      </c>
      <c r="D30" s="0" t="n">
        <v>2200</v>
      </c>
      <c r="E30" s="0" t="n">
        <v>113.462</v>
      </c>
      <c r="F30" s="0" t="n">
        <v>249616.4</v>
      </c>
      <c r="G30" s="0" t="n">
        <v>113.501</v>
      </c>
      <c r="H30" s="0" t="inlineStr">
        <is>
          <t>+0.00%</t>
        </is>
      </c>
      <c r="I30" s="0" t="n">
        <v>1344</v>
      </c>
      <c r="J30" s="0" t="n">
        <v>249702.2</v>
      </c>
      <c r="K30" s="0" t="n">
        <v>85.8</v>
      </c>
      <c r="L30" s="0" t="inlineStr">
        <is>
          <t>0.03%</t>
        </is>
      </c>
      <c r="M30" s="0" t="inlineStr">
        <is>
          <t>5%</t>
        </is>
      </c>
      <c r="N30" s="0" t="inlineStr">
        <is>
          <t>4.98%</t>
        </is>
      </c>
      <c r="O30" s="0" t="inlineStr">
        <is>
          <t>-0.0%</t>
        </is>
      </c>
      <c r="P30" s="0" t="inlineStr">
        <is>
          <t>—</t>
        </is>
      </c>
      <c r="Q30" s="0" t="inlineStr">
        <is>
          <t>—</t>
        </is>
      </c>
    </row>
    <row r="31">
      <c r="A31" s="0" t="inlineStr">
        <is>
          <t>2026-05-25</t>
        </is>
      </c>
      <c r="B31" s="0" t="inlineStr">
        <is>
          <t>黄金</t>
        </is>
      </c>
      <c r="C31" s="0" t="inlineStr">
        <is>
          <t>518880.SH</t>
        </is>
      </c>
      <c r="D31" s="0" t="n">
        <v>15800</v>
      </c>
      <c r="E31" s="0" t="n">
        <v>9.497999999999999</v>
      </c>
      <c r="F31" s="0" t="n">
        <v>150068.4</v>
      </c>
      <c r="G31" s="0" t="n">
        <v>9.512</v>
      </c>
      <c r="H31" s="0" t="inlineStr">
        <is>
          <t>+0.54%</t>
        </is>
      </c>
      <c r="I31" s="0" t="n">
        <v>227</v>
      </c>
      <c r="J31" s="0" t="n">
        <v>150289.6</v>
      </c>
      <c r="K31" s="0" t="n">
        <v>221.2</v>
      </c>
      <c r="L31" s="0" t="inlineStr">
        <is>
          <t>0.15%</t>
        </is>
      </c>
      <c r="M31" s="0" t="inlineStr">
        <is>
          <t>15%</t>
        </is>
      </c>
      <c r="N31" s="0" t="inlineStr">
        <is>
          <t>3.00%</t>
        </is>
      </c>
      <c r="O31" s="0" t="inlineStr">
        <is>
          <t>-12.0%</t>
        </is>
      </c>
      <c r="P31" s="0" t="inlineStr">
        <is>
          <t>—</t>
        </is>
      </c>
      <c r="Q31" s="0" t="inlineStr">
        <is>
          <t>—</t>
        </is>
      </c>
    </row>
    <row r="32">
      <c r="A32" s="0" t="inlineStr">
        <is>
          <t>2026-05-26</t>
        </is>
      </c>
      <c r="B32" s="0" t="inlineStr">
        <is>
          <t>沪深300</t>
        </is>
      </c>
      <c r="C32" s="0" t="inlineStr">
        <is>
          <t>510300.SH</t>
        </is>
      </c>
      <c r="D32" s="0" t="n">
        <v>110000</v>
      </c>
      <c r="E32" s="0" t="n">
        <v>4.914</v>
      </c>
      <c r="F32" s="0" t="n">
        <v>540540</v>
      </c>
      <c r="G32" s="0" t="n">
        <v>4.972</v>
      </c>
      <c r="H32" s="0" t="inlineStr">
        <is>
          <t>+0.71%</t>
        </is>
      </c>
      <c r="I32" s="0" t="n">
        <v>479</v>
      </c>
      <c r="J32" s="0" t="n">
        <v>546920</v>
      </c>
      <c r="K32" s="0" t="n">
        <v>6380</v>
      </c>
      <c r="L32" s="0" t="inlineStr">
        <is>
          <t>1.18%</t>
        </is>
      </c>
      <c r="M32" s="0" t="inlineStr">
        <is>
          <t>15%</t>
        </is>
      </c>
      <c r="N32" s="0" t="inlineStr">
        <is>
          <t>10.90%</t>
        </is>
      </c>
      <c r="O32" s="0" t="inlineStr">
        <is>
          <t>-4.1%</t>
        </is>
      </c>
      <c r="P32" s="0" t="inlineStr">
        <is>
          <t>—</t>
        </is>
      </c>
      <c r="Q32" s="0" t="inlineStr">
        <is>
          <t>—</t>
        </is>
      </c>
    </row>
    <row r="33">
      <c r="A33" s="0" t="inlineStr">
        <is>
          <t>2026-05-26</t>
        </is>
      </c>
      <c r="B33" s="0" t="inlineStr">
        <is>
          <t>中证500</t>
        </is>
      </c>
      <c r="C33" s="0" t="inlineStr">
        <is>
          <t>510500.SH</t>
        </is>
      </c>
      <c r="D33" s="0" t="n">
        <v>20000</v>
      </c>
      <c r="E33" s="0" t="n">
        <v>8.696</v>
      </c>
      <c r="F33" s="0" t="n">
        <v>173920</v>
      </c>
      <c r="G33" s="0" t="n">
        <v>8.752000000000001</v>
      </c>
      <c r="H33" s="0" t="inlineStr">
        <is>
          <t>-0.39%</t>
        </is>
      </c>
      <c r="I33" s="0" t="n">
        <v>210</v>
      </c>
      <c r="J33" s="0" t="n">
        <v>175040</v>
      </c>
      <c r="K33" s="0" t="n">
        <v>1120</v>
      </c>
      <c r="L33" s="0" t="inlineStr">
        <is>
          <t>0.64%</t>
        </is>
      </c>
      <c r="M33" s="0" t="inlineStr">
        <is>
          <t>10%</t>
        </is>
      </c>
      <c r="N33" s="0" t="inlineStr">
        <is>
          <t>3.49%</t>
        </is>
      </c>
      <c r="O33" s="0" t="inlineStr">
        <is>
          <t>-6.5%</t>
        </is>
      </c>
      <c r="P33" s="0" t="inlineStr">
        <is>
          <t>—</t>
        </is>
      </c>
      <c r="Q33" s="0" t="inlineStr">
        <is>
          <t>—</t>
        </is>
      </c>
    </row>
    <row r="34">
      <c r="A34" s="0" t="inlineStr">
        <is>
          <t>2026-05-26</t>
        </is>
      </c>
      <c r="B34" s="0" t="inlineStr">
        <is>
          <t>科创50</t>
        </is>
      </c>
      <c r="C34" s="0" t="inlineStr">
        <is>
          <t>588050.SH</t>
        </is>
      </c>
      <c r="D34" s="0" t="n">
        <v>60000</v>
      </c>
      <c r="E34" s="0" t="n">
        <v>1.838</v>
      </c>
      <c r="F34" s="0" t="n">
        <v>110280</v>
      </c>
      <c r="G34" s="0" t="n">
        <v>1.917</v>
      </c>
      <c r="H34" s="0" t="inlineStr">
        <is>
          <t>-1.24%</t>
        </is>
      </c>
      <c r="I34" s="0" t="n">
        <v>60</v>
      </c>
      <c r="J34" s="0" t="n">
        <v>115020</v>
      </c>
      <c r="K34" s="0" t="n">
        <v>4740</v>
      </c>
      <c r="L34" s="0" t="inlineStr">
        <is>
          <t>4.30%</t>
        </is>
      </c>
      <c r="M34" s="0" t="inlineStr">
        <is>
          <t>5%</t>
        </is>
      </c>
      <c r="N34" s="0" t="inlineStr">
        <is>
          <t>2.29%</t>
        </is>
      </c>
      <c r="O34" s="0" t="inlineStr">
        <is>
          <t>-2.7%</t>
        </is>
      </c>
      <c r="P34" s="0" t="inlineStr">
        <is>
          <t>—</t>
        </is>
      </c>
      <c r="Q34" s="0" t="inlineStr">
        <is>
          <t>—</t>
        </is>
      </c>
    </row>
    <row r="35">
      <c r="A35" s="0" t="inlineStr">
        <is>
          <t>2026-05-26</t>
        </is>
      </c>
      <c r="B35" s="0" t="inlineStr">
        <is>
          <t>创业板</t>
        </is>
      </c>
      <c r="C35" s="0" t="inlineStr">
        <is>
          <t>159915.SZ</t>
        </is>
      </c>
      <c r="D35" s="0" t="n">
        <v>63000</v>
      </c>
      <c r="E35" s="0" t="n">
        <v>3.968</v>
      </c>
      <c r="F35" s="0" t="n">
        <v>249984</v>
      </c>
      <c r="G35" s="0" t="n">
        <v>4.055</v>
      </c>
      <c r="H35" s="0" t="inlineStr">
        <is>
          <t>+0.52%</t>
        </is>
      </c>
      <c r="I35" s="0" t="n">
        <v>646</v>
      </c>
      <c r="J35" s="0" t="n">
        <v>255465</v>
      </c>
      <c r="K35" s="0" t="n">
        <v>5481</v>
      </c>
      <c r="L35" s="0" t="inlineStr">
        <is>
          <t>2.19%</t>
        </is>
      </c>
      <c r="M35" s="0" t="inlineStr">
        <is>
          <t>5%</t>
        </is>
      </c>
      <c r="N35" s="0" t="inlineStr">
        <is>
          <t>5.09%</t>
        </is>
      </c>
      <c r="O35" s="0" t="inlineStr">
        <is>
          <t>+0.1%</t>
        </is>
      </c>
      <c r="P35" s="0" t="inlineStr">
        <is>
          <t>—</t>
        </is>
      </c>
      <c r="Q35" s="0" t="inlineStr">
        <is>
          <t>—</t>
        </is>
      </c>
    </row>
    <row r="36">
      <c r="A36" s="0" t="inlineStr">
        <is>
          <t>2026-05-26</t>
        </is>
      </c>
      <c r="B36" s="0" t="inlineStr">
        <is>
          <t>红利低波</t>
        </is>
      </c>
      <c r="C36" s="0" t="inlineStr">
        <is>
          <t>512890.SH</t>
        </is>
      </c>
      <c r="D36" s="0" t="n">
        <v>218000</v>
      </c>
      <c r="E36" s="0" t="n">
        <v>1.15</v>
      </c>
      <c r="F36" s="0" t="n">
        <v>250700</v>
      </c>
      <c r="G36" s="0" t="n">
        <v>1.156</v>
      </c>
      <c r="H36" s="0" t="inlineStr">
        <is>
          <t>+0.35%</t>
        </is>
      </c>
      <c r="I36" s="0" t="n">
        <v>60</v>
      </c>
      <c r="J36" s="0" t="n">
        <v>252008</v>
      </c>
      <c r="K36" s="0" t="n">
        <v>1308</v>
      </c>
      <c r="L36" s="0" t="inlineStr">
        <is>
          <t>0.52%</t>
        </is>
      </c>
      <c r="M36" s="0" t="inlineStr">
        <is>
          <t>5%</t>
        </is>
      </c>
      <c r="N36" s="0" t="inlineStr">
        <is>
          <t>5.02%</t>
        </is>
      </c>
      <c r="O36" s="0" t="inlineStr">
        <is>
          <t>+0.0%</t>
        </is>
      </c>
      <c r="P36" s="0" t="inlineStr">
        <is>
          <t>—</t>
        </is>
      </c>
      <c r="Q36" s="0" t="inlineStr">
        <is>
          <t>—</t>
        </is>
      </c>
    </row>
    <row r="37">
      <c r="A37" s="0" t="inlineStr">
        <is>
          <t>2026-05-26</t>
        </is>
      </c>
      <c r="B37" s="0" t="inlineStr">
        <is>
          <t>十年国债</t>
        </is>
      </c>
      <c r="C37" s="0" t="inlineStr">
        <is>
          <t>511260.SH</t>
        </is>
      </c>
      <c r="D37" s="0" t="n">
        <v>3700</v>
      </c>
      <c r="E37" s="0" t="n">
        <v>135.645</v>
      </c>
      <c r="F37" s="0" t="n">
        <v>501886.5</v>
      </c>
      <c r="G37" s="0" t="n">
        <v>135.593</v>
      </c>
      <c r="H37" s="0" t="inlineStr">
        <is>
          <t>+0.05%</t>
        </is>
      </c>
      <c r="I37" s="0" t="n">
        <v>318</v>
      </c>
      <c r="J37" s="0" t="n">
        <v>501694.1</v>
      </c>
      <c r="K37" s="0" t="n">
        <v>-192.4</v>
      </c>
      <c r="L37" s="0" t="inlineStr">
        <is>
          <t>-0.04%</t>
        </is>
      </c>
      <c r="M37" s="0" t="inlineStr">
        <is>
          <t>10%</t>
        </is>
      </c>
      <c r="N37" s="0" t="inlineStr">
        <is>
          <t>10.00%</t>
        </is>
      </c>
      <c r="O37" s="0" t="inlineStr">
        <is>
          <t>-0.0%</t>
        </is>
      </c>
      <c r="P37" s="0" t="inlineStr">
        <is>
          <t>—</t>
        </is>
      </c>
      <c r="Q37" s="0" t="inlineStr">
        <is>
          <t>—</t>
        </is>
      </c>
    </row>
    <row r="38">
      <c r="A38" s="0" t="inlineStr">
        <is>
          <t>2026-05-26</t>
        </is>
      </c>
      <c r="B38" s="0" t="inlineStr">
        <is>
          <t>五年国债</t>
        </is>
      </c>
      <c r="C38" s="0" t="inlineStr">
        <is>
          <t>511010.SH</t>
        </is>
      </c>
      <c r="D38" s="0" t="n">
        <v>3500</v>
      </c>
      <c r="E38" s="0" t="n">
        <v>141.2121</v>
      </c>
      <c r="F38" s="0" t="n">
        <v>494242.35</v>
      </c>
      <c r="G38" s="0" t="n">
        <v>141.23</v>
      </c>
      <c r="H38" s="0" t="inlineStr">
        <is>
          <t>+0.04%</t>
        </is>
      </c>
      <c r="I38" s="0" t="n">
        <v>14</v>
      </c>
      <c r="J38" s="0" t="n">
        <v>494305</v>
      </c>
      <c r="K38" s="0" t="n">
        <v>62.65</v>
      </c>
      <c r="L38" s="0" t="inlineStr">
        <is>
          <t>0.01%</t>
        </is>
      </c>
      <c r="M38" s="0" t="inlineStr">
        <is>
          <t>10%</t>
        </is>
      </c>
      <c r="N38" s="0" t="inlineStr">
        <is>
          <t>9.85%</t>
        </is>
      </c>
      <c r="O38" s="0" t="inlineStr">
        <is>
          <t>-0.1%</t>
        </is>
      </c>
      <c r="P38" s="0" t="inlineStr">
        <is>
          <t>—</t>
        </is>
      </c>
      <c r="Q38" s="0" t="inlineStr">
        <is>
          <t>—</t>
        </is>
      </c>
    </row>
    <row r="39">
      <c r="A39" s="0" t="inlineStr">
        <is>
          <t>2026-05-26</t>
        </is>
      </c>
      <c r="B39" s="0" t="inlineStr">
        <is>
          <t>短融</t>
        </is>
      </c>
      <c r="C39" s="0" t="inlineStr">
        <is>
          <t>511360.SH</t>
        </is>
      </c>
      <c r="D39" s="0" t="n">
        <v>2200</v>
      </c>
      <c r="E39" s="0" t="n">
        <v>113.462</v>
      </c>
      <c r="F39" s="0" t="n">
        <v>249616.4</v>
      </c>
      <c r="G39" s="0" t="n">
        <v>113.505</v>
      </c>
      <c r="H39" s="0" t="inlineStr">
        <is>
          <t>+0.00%</t>
        </is>
      </c>
      <c r="I39" s="0" t="n">
        <v>983</v>
      </c>
      <c r="J39" s="0" t="n">
        <v>249711</v>
      </c>
      <c r="K39" s="0" t="n">
        <v>94.59999999999999</v>
      </c>
      <c r="L39" s="0" t="inlineStr">
        <is>
          <t>0.04%</t>
        </is>
      </c>
      <c r="M39" s="0" t="inlineStr">
        <is>
          <t>5%</t>
        </is>
      </c>
      <c r="N39" s="0" t="inlineStr">
        <is>
          <t>4.98%</t>
        </is>
      </c>
      <c r="O39" s="0" t="inlineStr">
        <is>
          <t>-0.0%</t>
        </is>
      </c>
      <c r="P39" s="0" t="inlineStr">
        <is>
          <t>—</t>
        </is>
      </c>
      <c r="Q39" s="0" t="inlineStr">
        <is>
          <t>—</t>
        </is>
      </c>
    </row>
    <row r="40">
      <c r="A40" s="0" t="inlineStr">
        <is>
          <t>2026-05-26</t>
        </is>
      </c>
      <c r="B40" s="0" t="inlineStr">
        <is>
          <t>黄金</t>
        </is>
      </c>
      <c r="C40" s="0" t="inlineStr">
        <is>
          <t>518880.SH</t>
        </is>
      </c>
      <c r="D40" s="0" t="n">
        <v>23800</v>
      </c>
      <c r="E40" s="0" t="n">
        <v>9.483499999999999</v>
      </c>
      <c r="F40" s="0" t="n">
        <v>225707.3</v>
      </c>
      <c r="G40" s="0" t="n">
        <v>9.454000000000001</v>
      </c>
      <c r="H40" s="0" t="inlineStr">
        <is>
          <t>-0.61%</t>
        </is>
      </c>
      <c r="I40" s="0" t="n">
        <v>209</v>
      </c>
      <c r="J40" s="0" t="n">
        <v>225005.2</v>
      </c>
      <c r="K40" s="0" t="n">
        <v>-702.1</v>
      </c>
      <c r="L40" s="0" t="inlineStr">
        <is>
          <t>-0.31%</t>
        </is>
      </c>
      <c r="M40" s="0" t="inlineStr">
        <is>
          <t>15%</t>
        </is>
      </c>
      <c r="N40" s="0" t="inlineStr">
        <is>
          <t>4.48%</t>
        </is>
      </c>
      <c r="O40" s="0" t="inlineStr">
        <is>
          <t>-10.5%</t>
        </is>
      </c>
      <c r="P40" s="0" t="inlineStr">
        <is>
          <t>—</t>
        </is>
      </c>
      <c r="Q40" s="0" t="inlineStr">
        <is>
          <t>—</t>
        </is>
      </c>
    </row>
    <row r="41">
      <c r="A41" s="0" t="inlineStr">
        <is>
          <t>2026-05-27</t>
        </is>
      </c>
      <c r="B41" s="0" t="inlineStr">
        <is>
          <t>沪深300</t>
        </is>
      </c>
      <c r="C41" s="0" t="inlineStr">
        <is>
          <t>510300.SH</t>
        </is>
      </c>
      <c r="D41" s="0" t="n">
        <v>110000</v>
      </c>
      <c r="E41" s="0" t="n">
        <v>4.914</v>
      </c>
      <c r="F41" s="0" t="n">
        <v>540540</v>
      </c>
      <c r="G41" s="0" t="n">
        <v>4.932</v>
      </c>
      <c r="H41" s="0" t="inlineStr">
        <is>
          <t>-0.80%</t>
        </is>
      </c>
      <c r="I41" s="0" t="n">
        <v>317</v>
      </c>
      <c r="J41" s="0" t="n">
        <v>542520</v>
      </c>
      <c r="K41" s="0" t="n">
        <v>1980</v>
      </c>
      <c r="L41" s="0" t="inlineStr">
        <is>
          <t>0.37%</t>
        </is>
      </c>
      <c r="M41" s="0" t="inlineStr">
        <is>
          <t>15%</t>
        </is>
      </c>
      <c r="N41" s="0" t="inlineStr">
        <is>
          <t>10.84%</t>
        </is>
      </c>
      <c r="O41" s="0" t="inlineStr">
        <is>
          <t>-4.2%</t>
        </is>
      </c>
      <c r="P41" s="0" t="inlineStr">
        <is>
          <t>—</t>
        </is>
      </c>
      <c r="Q41" s="0" t="inlineStr">
        <is>
          <t>—</t>
        </is>
      </c>
    </row>
    <row r="42">
      <c r="A42" s="0" t="inlineStr">
        <is>
          <t>2026-05-27</t>
        </is>
      </c>
      <c r="B42" s="0" t="inlineStr">
        <is>
          <t>中证500</t>
        </is>
      </c>
      <c r="C42" s="0" t="inlineStr">
        <is>
          <t>510500.SH</t>
        </is>
      </c>
      <c r="D42" s="0" t="n">
        <v>20000</v>
      </c>
      <c r="E42" s="0" t="n">
        <v>8.696</v>
      </c>
      <c r="F42" s="0" t="n">
        <v>173920</v>
      </c>
      <c r="G42" s="0" t="n">
        <v>8.614000000000001</v>
      </c>
      <c r="H42" s="0" t="inlineStr">
        <is>
          <t>-1.58%</t>
        </is>
      </c>
      <c r="I42" s="0" t="n">
        <v>287</v>
      </c>
      <c r="J42" s="0" t="n">
        <v>172280</v>
      </c>
      <c r="K42" s="0" t="n">
        <v>-1640</v>
      </c>
      <c r="L42" s="0" t="inlineStr">
        <is>
          <t>-0.94%</t>
        </is>
      </c>
      <c r="M42" s="0" t="inlineStr">
        <is>
          <t>10%</t>
        </is>
      </c>
      <c r="N42" s="0" t="inlineStr">
        <is>
          <t>3.44%</t>
        </is>
      </c>
      <c r="O42" s="0" t="inlineStr">
        <is>
          <t>-6.6%</t>
        </is>
      </c>
      <c r="P42" s="0" t="inlineStr">
        <is>
          <t>—</t>
        </is>
      </c>
      <c r="Q42" s="0" t="inlineStr">
        <is>
          <t>—</t>
        </is>
      </c>
    </row>
    <row r="43">
      <c r="A43" s="0" t="inlineStr">
        <is>
          <t>2026-05-27</t>
        </is>
      </c>
      <c r="B43" s="0" t="inlineStr">
        <is>
          <t>科创50</t>
        </is>
      </c>
      <c r="C43" s="0" t="inlineStr">
        <is>
          <t>588050.SH</t>
        </is>
      </c>
      <c r="D43" s="0" t="n">
        <v>60000</v>
      </c>
      <c r="E43" s="0" t="n">
        <v>1.838</v>
      </c>
      <c r="F43" s="0" t="n">
        <v>110280</v>
      </c>
      <c r="G43" s="0" t="n">
        <v>1.863</v>
      </c>
      <c r="H43" s="0" t="inlineStr">
        <is>
          <t>-2.82%</t>
        </is>
      </c>
      <c r="I43" s="0" t="n">
        <v>42</v>
      </c>
      <c r="J43" s="0" t="n">
        <v>111780</v>
      </c>
      <c r="K43" s="0" t="n">
        <v>1500</v>
      </c>
      <c r="L43" s="0" t="inlineStr">
        <is>
          <t>1.36%</t>
        </is>
      </c>
      <c r="M43" s="0" t="inlineStr">
        <is>
          <t>5%</t>
        </is>
      </c>
      <c r="N43" s="0" t="inlineStr">
        <is>
          <t>2.23%</t>
        </is>
      </c>
      <c r="O43" s="0" t="inlineStr">
        <is>
          <t>-2.8%</t>
        </is>
      </c>
      <c r="P43" s="0" t="inlineStr">
        <is>
          <t>—</t>
        </is>
      </c>
      <c r="Q43" s="0" t="inlineStr">
        <is>
          <t>—</t>
        </is>
      </c>
    </row>
    <row r="44">
      <c r="A44" s="0" t="inlineStr">
        <is>
          <t>2026-05-27</t>
        </is>
      </c>
      <c r="B44" s="0" t="inlineStr">
        <is>
          <t>创业板</t>
        </is>
      </c>
      <c r="C44" s="0" t="inlineStr">
        <is>
          <t>159915.SZ</t>
        </is>
      </c>
      <c r="D44" s="0" t="n">
        <v>63000</v>
      </c>
      <c r="E44" s="0" t="n">
        <v>3.968</v>
      </c>
      <c r="F44" s="0" t="n">
        <v>249984</v>
      </c>
      <c r="G44" s="0" t="n">
        <v>4.056</v>
      </c>
      <c r="H44" s="0" t="inlineStr">
        <is>
          <t>+0.02%</t>
        </is>
      </c>
      <c r="I44" s="0" t="n">
        <v>716</v>
      </c>
      <c r="J44" s="0" t="n">
        <v>255528</v>
      </c>
      <c r="K44" s="0" t="n">
        <v>5544</v>
      </c>
      <c r="L44" s="0" t="inlineStr">
        <is>
          <t>2.22%</t>
        </is>
      </c>
      <c r="M44" s="0" t="inlineStr">
        <is>
          <t>5%</t>
        </is>
      </c>
      <c r="N44" s="0" t="inlineStr">
        <is>
          <t>5.11%</t>
        </is>
      </c>
      <c r="O44" s="0" t="inlineStr">
        <is>
          <t>+0.1%</t>
        </is>
      </c>
      <c r="P44" s="0" t="inlineStr">
        <is>
          <t>—</t>
        </is>
      </c>
      <c r="Q44" s="0" t="inlineStr">
        <is>
          <t>—</t>
        </is>
      </c>
    </row>
    <row r="45">
      <c r="A45" s="0" t="inlineStr">
        <is>
          <t>2026-05-27</t>
        </is>
      </c>
      <c r="B45" s="0" t="inlineStr">
        <is>
          <t>红利低波</t>
        </is>
      </c>
      <c r="C45" s="0" t="inlineStr">
        <is>
          <t>512890.SH</t>
        </is>
      </c>
      <c r="D45" s="0" t="n">
        <v>218000</v>
      </c>
      <c r="E45" s="0" t="n">
        <v>1.15</v>
      </c>
      <c r="F45" s="0" t="n">
        <v>250700</v>
      </c>
      <c r="G45" s="0" t="n">
        <v>1.15</v>
      </c>
      <c r="H45" s="0" t="inlineStr">
        <is>
          <t>-0.52%</t>
        </is>
      </c>
      <c r="I45" s="0" t="n">
        <v>73</v>
      </c>
      <c r="J45" s="0" t="n">
        <v>250700</v>
      </c>
      <c r="K45" s="0" t="n">
        <v>0</v>
      </c>
      <c r="L45" s="0" t="inlineStr">
        <is>
          <t>0.00%</t>
        </is>
      </c>
      <c r="M45" s="0" t="inlineStr">
        <is>
          <t>5%</t>
        </is>
      </c>
      <c r="N45" s="0" t="inlineStr">
        <is>
          <t>5.01%</t>
        </is>
      </c>
      <c r="O45" s="0" t="inlineStr">
        <is>
          <t>+0.0%</t>
        </is>
      </c>
      <c r="P45" s="0" t="inlineStr">
        <is>
          <t>—</t>
        </is>
      </c>
      <c r="Q45" s="0" t="inlineStr">
        <is>
          <t>—</t>
        </is>
      </c>
    </row>
    <row r="46">
      <c r="A46" s="0" t="inlineStr">
        <is>
          <t>2026-05-27</t>
        </is>
      </c>
      <c r="B46" s="0" t="inlineStr">
        <is>
          <t>十年国债</t>
        </is>
      </c>
      <c r="C46" s="0" t="inlineStr">
        <is>
          <t>511260.SH</t>
        </is>
      </c>
      <c r="D46" s="0" t="n">
        <v>3700</v>
      </c>
      <c r="E46" s="0" t="n">
        <v>135.645</v>
      </c>
      <c r="F46" s="0" t="n">
        <v>501886.5</v>
      </c>
      <c r="G46" s="0" t="n">
        <v>135.785</v>
      </c>
      <c r="H46" s="0" t="inlineStr">
        <is>
          <t>+0.14%</t>
        </is>
      </c>
      <c r="I46" s="0" t="n">
        <v>566</v>
      </c>
      <c r="J46" s="0" t="n">
        <v>502404.5</v>
      </c>
      <c r="K46" s="0" t="n">
        <v>518</v>
      </c>
      <c r="L46" s="0" t="inlineStr">
        <is>
          <t>0.10%</t>
        </is>
      </c>
      <c r="M46" s="0" t="inlineStr">
        <is>
          <t>10%</t>
        </is>
      </c>
      <c r="N46" s="0" t="inlineStr">
        <is>
          <t>10.04%</t>
        </is>
      </c>
      <c r="O46" s="0" t="inlineStr">
        <is>
          <t>+0.0%</t>
        </is>
      </c>
      <c r="P46" s="0" t="inlineStr">
        <is>
          <t>—</t>
        </is>
      </c>
      <c r="Q46" s="0" t="inlineStr">
        <is>
          <t>—</t>
        </is>
      </c>
    </row>
    <row r="47">
      <c r="A47" s="0" t="inlineStr">
        <is>
          <t>2026-05-27</t>
        </is>
      </c>
      <c r="B47" s="0" t="inlineStr">
        <is>
          <t>五年国债</t>
        </is>
      </c>
      <c r="C47" s="0" t="inlineStr">
        <is>
          <t>511010.SH</t>
        </is>
      </c>
      <c r="D47" s="0" t="n">
        <v>3500</v>
      </c>
      <c r="E47" s="0" t="n">
        <v>141.2121</v>
      </c>
      <c r="F47" s="0" t="n">
        <v>494242.35</v>
      </c>
      <c r="G47" s="0" t="n">
        <v>141.302</v>
      </c>
      <c r="H47" s="0" t="inlineStr">
        <is>
          <t>+0.05%</t>
        </is>
      </c>
      <c r="I47" s="0" t="n">
        <v>103</v>
      </c>
      <c r="J47" s="0" t="n">
        <v>494557</v>
      </c>
      <c r="K47" s="0" t="n">
        <v>314.65</v>
      </c>
      <c r="L47" s="0" t="inlineStr">
        <is>
          <t>0.06%</t>
        </is>
      </c>
      <c r="M47" s="0" t="inlineStr">
        <is>
          <t>10%</t>
        </is>
      </c>
      <c r="N47" s="0" t="inlineStr">
        <is>
          <t>9.88%</t>
        </is>
      </c>
      <c r="O47" s="0" t="inlineStr">
        <is>
          <t>-0.1%</t>
        </is>
      </c>
      <c r="P47" s="0" t="inlineStr">
        <is>
          <t>—</t>
        </is>
      </c>
      <c r="Q47" s="0" t="inlineStr">
        <is>
          <t>—</t>
        </is>
      </c>
    </row>
    <row r="48">
      <c r="A48" s="0" t="inlineStr">
        <is>
          <t>2026-05-27</t>
        </is>
      </c>
      <c r="B48" s="0" t="inlineStr">
        <is>
          <t>短融</t>
        </is>
      </c>
      <c r="C48" s="0" t="inlineStr">
        <is>
          <t>511360.SH</t>
        </is>
      </c>
      <c r="D48" s="0" t="n">
        <v>2200</v>
      </c>
      <c r="E48" s="0" t="n">
        <v>113.462</v>
      </c>
      <c r="F48" s="0" t="n">
        <v>249616.4</v>
      </c>
      <c r="G48" s="0" t="n">
        <v>113.505</v>
      </c>
      <c r="H48" s="0" t="inlineStr">
        <is>
          <t>+0.00%</t>
        </is>
      </c>
      <c r="I48" s="0" t="n">
        <v>1028</v>
      </c>
      <c r="J48" s="0" t="n">
        <v>249711</v>
      </c>
      <c r="K48" s="0" t="n">
        <v>94.59999999999999</v>
      </c>
      <c r="L48" s="0" t="inlineStr">
        <is>
          <t>0.04%</t>
        </is>
      </c>
      <c r="M48" s="0" t="inlineStr">
        <is>
          <t>5%</t>
        </is>
      </c>
      <c r="N48" s="0" t="inlineStr">
        <is>
          <t>4.99%</t>
        </is>
      </c>
      <c r="O48" s="0" t="inlineStr">
        <is>
          <t>-0.0%</t>
        </is>
      </c>
      <c r="P48" s="0" t="inlineStr">
        <is>
          <t>—</t>
        </is>
      </c>
      <c r="Q48" s="0" t="inlineStr">
        <is>
          <t>—</t>
        </is>
      </c>
    </row>
    <row r="49">
      <c r="A49" s="0" t="inlineStr">
        <is>
          <t>2026-05-27</t>
        </is>
      </c>
      <c r="B49" s="0" t="inlineStr">
        <is>
          <t>黄金</t>
        </is>
      </c>
      <c r="C49" s="0" t="inlineStr">
        <is>
          <t>518880.SH</t>
        </is>
      </c>
      <c r="D49" s="0" t="n">
        <v>31800</v>
      </c>
      <c r="E49" s="0" t="n">
        <v>9.4587</v>
      </c>
      <c r="F49" s="0" t="n">
        <v>300786.66</v>
      </c>
      <c r="G49" s="0" t="n">
        <v>9.345000000000001</v>
      </c>
      <c r="H49" s="0" t="inlineStr">
        <is>
          <t>-1.15%</t>
        </is>
      </c>
      <c r="I49" s="0" t="n">
        <v>304</v>
      </c>
      <c r="J49" s="0" t="n">
        <v>297171</v>
      </c>
      <c r="K49" s="0" t="n">
        <v>-3615.66</v>
      </c>
      <c r="L49" s="0" t="inlineStr">
        <is>
          <t>-1.20%</t>
        </is>
      </c>
      <c r="M49" s="0" t="inlineStr">
        <is>
          <t>15%</t>
        </is>
      </c>
      <c r="N49" s="0" t="inlineStr">
        <is>
          <t>5.94%</t>
        </is>
      </c>
      <c r="O49" s="0" t="inlineStr">
        <is>
          <t>-9.1%</t>
        </is>
      </c>
      <c r="P49" s="0" t="inlineStr">
        <is>
          <t>—</t>
        </is>
      </c>
      <c r="Q49" s="0" t="inlineStr">
        <is>
          <t>—</t>
        </is>
      </c>
    </row>
    <row r="50">
      <c r="A50" s="0" t="inlineStr">
        <is>
          <t>2026-05-28</t>
        </is>
      </c>
      <c r="B50" s="0" t="inlineStr">
        <is>
          <t>沪深300</t>
        </is>
      </c>
      <c r="C50" s="0" t="inlineStr">
        <is>
          <t>510300.SH</t>
        </is>
      </c>
      <c r="D50" s="0" t="n">
        <v>110000</v>
      </c>
      <c r="E50" s="0" t="n">
        <v>4.914</v>
      </c>
      <c r="F50" s="0" t="n">
        <v>540540</v>
      </c>
      <c r="G50" s="0" t="n">
        <v>4.932</v>
      </c>
      <c r="H50" s="0" t="inlineStr">
        <is>
          <t>+0.00%</t>
        </is>
      </c>
      <c r="I50" s="0" t="n">
        <v>216</v>
      </c>
      <c r="J50" s="0" t="n">
        <v>542520</v>
      </c>
      <c r="K50" s="0" t="n">
        <v>1980</v>
      </c>
      <c r="L50" s="0" t="inlineStr">
        <is>
          <t>0.37%</t>
        </is>
      </c>
      <c r="M50" s="0" t="inlineStr">
        <is>
          <t>15%</t>
        </is>
      </c>
      <c r="N50" s="0" t="inlineStr">
        <is>
          <t>10.84%</t>
        </is>
      </c>
      <c r="O50" s="0" t="inlineStr">
        <is>
          <t>-4.2%</t>
        </is>
      </c>
      <c r="P50" s="0" t="inlineStr">
        <is>
          <t>—</t>
        </is>
      </c>
      <c r="Q50" s="0" t="inlineStr">
        <is>
          <t>—</t>
        </is>
      </c>
    </row>
    <row r="51">
      <c r="A51" s="0" t="inlineStr">
        <is>
          <t>2026-05-28</t>
        </is>
      </c>
      <c r="B51" s="0" t="inlineStr">
        <is>
          <t>中证500</t>
        </is>
      </c>
      <c r="C51" s="0" t="inlineStr">
        <is>
          <t>510500.SH</t>
        </is>
      </c>
      <c r="D51" s="0" t="n">
        <v>20000</v>
      </c>
      <c r="E51" s="0" t="n">
        <v>8.696</v>
      </c>
      <c r="F51" s="0" t="n">
        <v>173920</v>
      </c>
      <c r="G51" s="0" t="n">
        <v>8.648999999999999</v>
      </c>
      <c r="H51" s="0" t="inlineStr">
        <is>
          <t>+0.41%</t>
        </is>
      </c>
      <c r="I51" s="0" t="n">
        <v>286</v>
      </c>
      <c r="J51" s="0" t="n">
        <v>172980</v>
      </c>
      <c r="K51" s="0" t="n">
        <v>-940</v>
      </c>
      <c r="L51" s="0" t="inlineStr">
        <is>
          <t>-0.54%</t>
        </is>
      </c>
      <c r="M51" s="0" t="inlineStr">
        <is>
          <t>10%</t>
        </is>
      </c>
      <c r="N51" s="0" t="inlineStr">
        <is>
          <t>3.46%</t>
        </is>
      </c>
      <c r="O51" s="0" t="inlineStr">
        <is>
          <t>-6.5%</t>
        </is>
      </c>
      <c r="P51" s="0" t="inlineStr">
        <is>
          <t>—</t>
        </is>
      </c>
      <c r="Q51" s="0" t="inlineStr">
        <is>
          <t>—</t>
        </is>
      </c>
    </row>
    <row r="52">
      <c r="A52" s="0" t="inlineStr">
        <is>
          <t>2026-05-28</t>
        </is>
      </c>
      <c r="B52" s="0" t="inlineStr">
        <is>
          <t>科创50</t>
        </is>
      </c>
      <c r="C52" s="0" t="inlineStr">
        <is>
          <t>588050.SH</t>
        </is>
      </c>
      <c r="D52" s="0" t="n">
        <v>60000</v>
      </c>
      <c r="E52" s="0" t="n">
        <v>1.838</v>
      </c>
      <c r="F52" s="0" t="n">
        <v>110280</v>
      </c>
      <c r="G52" s="0" t="n">
        <v>1.892</v>
      </c>
      <c r="H52" s="0" t="inlineStr">
        <is>
          <t>+1.56%</t>
        </is>
      </c>
      <c r="I52" s="0" t="n">
        <v>58</v>
      </c>
      <c r="J52" s="0" t="n">
        <v>113520</v>
      </c>
      <c r="K52" s="0" t="n">
        <v>3240</v>
      </c>
      <c r="L52" s="0" t="inlineStr">
        <is>
          <t>2.94%</t>
        </is>
      </c>
      <c r="M52" s="0" t="inlineStr">
        <is>
          <t>5%</t>
        </is>
      </c>
      <c r="N52" s="0" t="inlineStr">
        <is>
          <t>2.27%</t>
        </is>
      </c>
      <c r="O52" s="0" t="inlineStr">
        <is>
          <t>-2.7%</t>
        </is>
      </c>
      <c r="P52" s="0" t="inlineStr">
        <is>
          <t>—</t>
        </is>
      </c>
      <c r="Q52" s="0" t="inlineStr">
        <is>
          <t>—</t>
        </is>
      </c>
    </row>
    <row r="53">
      <c r="A53" s="0" t="inlineStr">
        <is>
          <t>2026-05-28</t>
        </is>
      </c>
      <c r="B53" s="0" t="inlineStr">
        <is>
          <t>创业板</t>
        </is>
      </c>
      <c r="C53" s="0" t="inlineStr">
        <is>
          <t>159915.SZ</t>
        </is>
      </c>
      <c r="D53" s="0" t="n">
        <v>63000</v>
      </c>
      <c r="E53" s="0" t="n">
        <v>3.968</v>
      </c>
      <c r="F53" s="0" t="n">
        <v>249984</v>
      </c>
      <c r="G53" s="0" t="n">
        <v>4.138</v>
      </c>
      <c r="H53" s="0" t="inlineStr">
        <is>
          <t>+2.02%</t>
        </is>
      </c>
      <c r="I53" s="0" t="n">
        <v>568</v>
      </c>
      <c r="J53" s="0" t="n">
        <v>260694</v>
      </c>
      <c r="K53" s="0" t="n">
        <v>10710</v>
      </c>
      <c r="L53" s="0" t="inlineStr">
        <is>
          <t>4.28%</t>
        </is>
      </c>
      <c r="M53" s="0" t="inlineStr">
        <is>
          <t>5%</t>
        </is>
      </c>
      <c r="N53" s="0" t="inlineStr">
        <is>
          <t>5.21%</t>
        </is>
      </c>
      <c r="O53" s="0" t="inlineStr">
        <is>
          <t>+0.2%</t>
        </is>
      </c>
      <c r="P53" s="0" t="inlineStr">
        <is>
          <t>—</t>
        </is>
      </c>
      <c r="Q53" s="0" t="inlineStr">
        <is>
          <t>—</t>
        </is>
      </c>
    </row>
    <row r="54">
      <c r="A54" s="0" t="inlineStr">
        <is>
          <t>2026-05-28</t>
        </is>
      </c>
      <c r="B54" s="0" t="inlineStr">
        <is>
          <t>红利低波</t>
        </is>
      </c>
      <c r="C54" s="0" t="inlineStr">
        <is>
          <t>512890.SH</t>
        </is>
      </c>
      <c r="D54" s="0" t="n">
        <v>218000</v>
      </c>
      <c r="E54" s="0" t="n">
        <v>1.15</v>
      </c>
      <c r="F54" s="0" t="n">
        <v>250700</v>
      </c>
      <c r="G54" s="0" t="n">
        <v>1.144</v>
      </c>
      <c r="H54" s="0" t="inlineStr">
        <is>
          <t>-0.52%</t>
        </is>
      </c>
      <c r="I54" s="0" t="n">
        <v>75</v>
      </c>
      <c r="J54" s="0" t="n">
        <v>249392</v>
      </c>
      <c r="K54" s="0" t="n">
        <v>-1308</v>
      </c>
      <c r="L54" s="0" t="inlineStr">
        <is>
          <t>-0.52%</t>
        </is>
      </c>
      <c r="M54" s="0" t="inlineStr">
        <is>
          <t>5%</t>
        </is>
      </c>
      <c r="N54" s="0" t="inlineStr">
        <is>
          <t>4.98%</t>
        </is>
      </c>
      <c r="O54" s="0" t="inlineStr">
        <is>
          <t>-0.0%</t>
        </is>
      </c>
      <c r="P54" s="0" t="inlineStr">
        <is>
          <t>—</t>
        </is>
      </c>
      <c r="Q54" s="0" t="inlineStr">
        <is>
          <t>—</t>
        </is>
      </c>
    </row>
    <row r="55">
      <c r="A55" s="0" t="inlineStr">
        <is>
          <t>2026-05-28</t>
        </is>
      </c>
      <c r="B55" s="0" t="inlineStr">
        <is>
          <t>十年国债</t>
        </is>
      </c>
      <c r="C55" s="0" t="inlineStr">
        <is>
          <t>511260.SH</t>
        </is>
      </c>
      <c r="D55" s="0" t="n">
        <v>3700</v>
      </c>
      <c r="E55" s="0" t="n">
        <v>135.645</v>
      </c>
      <c r="F55" s="0" t="n">
        <v>501886.5</v>
      </c>
      <c r="G55" s="0" t="n">
        <v>135.975</v>
      </c>
      <c r="H55" s="0" t="inlineStr">
        <is>
          <t>+0.14%</t>
        </is>
      </c>
      <c r="I55" s="0" t="n">
        <v>510</v>
      </c>
      <c r="J55" s="0" t="n">
        <v>503107.5</v>
      </c>
      <c r="K55" s="0" t="n">
        <v>1221</v>
      </c>
      <c r="L55" s="0" t="inlineStr">
        <is>
          <t>0.24%</t>
        </is>
      </c>
      <c r="M55" s="0" t="inlineStr">
        <is>
          <t>10%</t>
        </is>
      </c>
      <c r="N55" s="0" t="inlineStr">
        <is>
          <t>10.05%</t>
        </is>
      </c>
      <c r="O55" s="0" t="inlineStr">
        <is>
          <t>+0.1%</t>
        </is>
      </c>
      <c r="P55" s="0" t="inlineStr">
        <is>
          <t>—</t>
        </is>
      </c>
      <c r="Q55" s="0" t="inlineStr">
        <is>
          <t>—</t>
        </is>
      </c>
    </row>
    <row r="56">
      <c r="A56" s="0" t="inlineStr">
        <is>
          <t>2026-05-28</t>
        </is>
      </c>
      <c r="B56" s="0" t="inlineStr">
        <is>
          <t>五年国债</t>
        </is>
      </c>
      <c r="C56" s="0" t="inlineStr">
        <is>
          <t>511010.SH</t>
        </is>
      </c>
      <c r="D56" s="0" t="n">
        <v>3500</v>
      </c>
      <c r="E56" s="0" t="n">
        <v>141.2121</v>
      </c>
      <c r="F56" s="0" t="n">
        <v>494242.35</v>
      </c>
      <c r="G56" s="0" t="n">
        <v>141.417</v>
      </c>
      <c r="H56" s="0" t="inlineStr">
        <is>
          <t>+0.08%</t>
        </is>
      </c>
      <c r="I56" s="0" t="n">
        <v>26</v>
      </c>
      <c r="J56" s="0" t="n">
        <v>494959.5</v>
      </c>
      <c r="K56" s="0" t="n">
        <v>717.15</v>
      </c>
      <c r="L56" s="0" t="inlineStr">
        <is>
          <t>0.15%</t>
        </is>
      </c>
      <c r="M56" s="0" t="inlineStr">
        <is>
          <t>10%</t>
        </is>
      </c>
      <c r="N56" s="0" t="inlineStr">
        <is>
          <t>9.89%</t>
        </is>
      </c>
      <c r="O56" s="0" t="inlineStr">
        <is>
          <t>-0.1%</t>
        </is>
      </c>
      <c r="P56" s="0" t="inlineStr">
        <is>
          <t>—</t>
        </is>
      </c>
      <c r="Q56" s="0" t="inlineStr">
        <is>
          <t>—</t>
        </is>
      </c>
    </row>
    <row r="57">
      <c r="A57" s="0" t="inlineStr">
        <is>
          <t>2026-05-28</t>
        </is>
      </c>
      <c r="B57" s="0" t="inlineStr">
        <is>
          <t>短融</t>
        </is>
      </c>
      <c r="C57" s="0" t="inlineStr">
        <is>
          <t>511360.SH</t>
        </is>
      </c>
      <c r="D57" s="0" t="n">
        <v>2200</v>
      </c>
      <c r="E57" s="0" t="n">
        <v>113.462</v>
      </c>
      <c r="F57" s="0" t="n">
        <v>249616.4</v>
      </c>
      <c r="G57" s="0" t="n">
        <v>113.515</v>
      </c>
      <c r="H57" s="0" t="inlineStr">
        <is>
          <t>+0.01%</t>
        </is>
      </c>
      <c r="I57" s="0" t="n">
        <v>1134</v>
      </c>
      <c r="J57" s="0" t="n">
        <v>249733</v>
      </c>
      <c r="K57" s="0" t="n">
        <v>116.6</v>
      </c>
      <c r="L57" s="0" t="inlineStr">
        <is>
          <t>0.05%</t>
        </is>
      </c>
      <c r="M57" s="0" t="inlineStr">
        <is>
          <t>5%</t>
        </is>
      </c>
      <c r="N57" s="0" t="inlineStr">
        <is>
          <t>4.99%</t>
        </is>
      </c>
      <c r="O57" s="0" t="inlineStr">
        <is>
          <t>-0.0%</t>
        </is>
      </c>
      <c r="P57" s="0" t="inlineStr">
        <is>
          <t>—</t>
        </is>
      </c>
      <c r="Q57" s="0" t="inlineStr">
        <is>
          <t>—</t>
        </is>
      </c>
    </row>
    <row r="58">
      <c r="A58" s="0" t="inlineStr">
        <is>
          <t>2026-05-28</t>
        </is>
      </c>
      <c r="B58" s="0" t="inlineStr">
        <is>
          <t>黄金</t>
        </is>
      </c>
      <c r="C58" s="0" t="inlineStr">
        <is>
          <t>518880.SH</t>
        </is>
      </c>
      <c r="D58" s="0" t="n">
        <v>39800</v>
      </c>
      <c r="E58" s="0" t="n">
        <v>9.396599999999999</v>
      </c>
      <c r="F58" s="0" t="n">
        <v>373984.68</v>
      </c>
      <c r="G58" s="0" t="n">
        <v>9.132</v>
      </c>
      <c r="H58" s="0" t="inlineStr">
        <is>
          <t>-2.28%</t>
        </is>
      </c>
      <c r="I58" s="0" t="n">
        <v>418</v>
      </c>
      <c r="J58" s="0" t="n">
        <v>363453.6</v>
      </c>
      <c r="K58" s="0" t="n">
        <v>-10531.08</v>
      </c>
      <c r="L58" s="0" t="inlineStr">
        <is>
          <t>-2.82%</t>
        </is>
      </c>
      <c r="M58" s="0" t="inlineStr">
        <is>
          <t>15%</t>
        </is>
      </c>
      <c r="N58" s="0" t="inlineStr">
        <is>
          <t>7.26%</t>
        </is>
      </c>
      <c r="O58" s="0" t="inlineStr">
        <is>
          <t>-7.7%</t>
        </is>
      </c>
      <c r="P58" s="0" t="inlineStr">
        <is>
          <t>—</t>
        </is>
      </c>
      <c r="Q58" s="0" t="inlineStr">
        <is>
          <t>—</t>
        </is>
      </c>
    </row>
    <row r="59">
      <c r="A59" s="0" t="inlineStr">
        <is>
          <t>2026-05-28</t>
        </is>
      </c>
      <c r="B59" s="0" t="inlineStr">
        <is>
          <t>华宝添益</t>
        </is>
      </c>
      <c r="C59" s="0" t="inlineStr">
        <is>
          <t>511990.SH</t>
        </is>
      </c>
      <c r="D59" s="0" t="n">
        <v>2500</v>
      </c>
      <c r="E59" s="0" t="n">
        <v>99.997</v>
      </c>
      <c r="F59" s="0" t="n">
        <v>249992.5</v>
      </c>
      <c r="G59" s="0" t="n">
        <v>99.998</v>
      </c>
      <c r="H59" s="0" t="inlineStr">
        <is>
          <t>-0.00%</t>
        </is>
      </c>
      <c r="I59" s="0" t="n">
        <v>817</v>
      </c>
      <c r="J59" s="0" t="n">
        <v>249995</v>
      </c>
      <c r="K59" s="0" t="n">
        <v>2.5</v>
      </c>
      <c r="L59" s="0" t="inlineStr">
        <is>
          <t>0.00%</t>
        </is>
      </c>
      <c r="M59" s="0" t="inlineStr">
        <is>
          <t>5%</t>
        </is>
      </c>
      <c r="N59" s="0" t="inlineStr">
        <is>
          <t>4.99%</t>
        </is>
      </c>
      <c r="O59" s="0" t="inlineStr">
        <is>
          <t>-0.0%</t>
        </is>
      </c>
      <c r="P59" s="0" t="inlineStr">
        <is>
          <t>—</t>
        </is>
      </c>
      <c r="Q59" s="0" t="inlineStr">
        <is>
          <t>—</t>
        </is>
      </c>
    </row>
    <row r="60">
      <c r="A60" s="0" t="inlineStr">
        <is>
          <t>2026-05-29</t>
        </is>
      </c>
      <c r="B60" s="0" t="inlineStr">
        <is>
          <t>沪深300</t>
        </is>
      </c>
      <c r="C60" s="0" t="inlineStr">
        <is>
          <t>510300.SH</t>
        </is>
      </c>
      <c r="D60" s="0" t="n">
        <v>110000</v>
      </c>
      <c r="E60" s="0" t="n">
        <v>4.914</v>
      </c>
      <c r="F60" s="0" t="n">
        <v>540540</v>
      </c>
      <c r="G60" s="0" t="n">
        <v>4.923</v>
      </c>
      <c r="H60" s="0" t="inlineStr">
        <is>
          <t>-0.18%</t>
        </is>
      </c>
      <c r="I60" s="0" t="n">
        <v>324</v>
      </c>
      <c r="J60" s="0" t="n">
        <v>541530</v>
      </c>
      <c r="K60" s="0" t="n">
        <v>990</v>
      </c>
      <c r="L60" s="0" t="inlineStr">
        <is>
          <t>0.18%</t>
        </is>
      </c>
      <c r="M60" s="0" t="inlineStr">
        <is>
          <t>15%</t>
        </is>
      </c>
      <c r="N60" s="0" t="inlineStr">
        <is>
          <t>10.82%</t>
        </is>
      </c>
      <c r="O60" s="0" t="inlineStr">
        <is>
          <t>-4.2%</t>
        </is>
      </c>
      <c r="P60" s="0" t="inlineStr">
        <is>
          <t>—</t>
        </is>
      </c>
      <c r="Q60" s="0" t="inlineStr">
        <is>
          <t>—</t>
        </is>
      </c>
    </row>
    <row r="61">
      <c r="A61" s="0" t="inlineStr">
        <is>
          <t>2026-05-29</t>
        </is>
      </c>
      <c r="B61" s="0" t="inlineStr">
        <is>
          <t>中证500</t>
        </is>
      </c>
      <c r="C61" s="0" t="inlineStr">
        <is>
          <t>510500.SH</t>
        </is>
      </c>
      <c r="D61" s="0" t="n">
        <v>20000</v>
      </c>
      <c r="E61" s="0" t="n">
        <v>8.696</v>
      </c>
      <c r="F61" s="0" t="n">
        <v>173920</v>
      </c>
      <c r="G61" s="0" t="n">
        <v>8.443</v>
      </c>
      <c r="H61" s="0" t="inlineStr">
        <is>
          <t>-2.38%</t>
        </is>
      </c>
      <c r="I61" s="0" t="n">
        <v>279</v>
      </c>
      <c r="J61" s="0" t="n">
        <v>168860</v>
      </c>
      <c r="K61" s="0" t="n">
        <v>-5060</v>
      </c>
      <c r="L61" s="0" t="inlineStr">
        <is>
          <t>-2.91%</t>
        </is>
      </c>
      <c r="M61" s="0" t="inlineStr">
        <is>
          <t>10%</t>
        </is>
      </c>
      <c r="N61" s="0" t="inlineStr">
        <is>
          <t>3.37%</t>
        </is>
      </c>
      <c r="O61" s="0" t="inlineStr">
        <is>
          <t>-6.6%</t>
        </is>
      </c>
      <c r="P61" s="0" t="inlineStr">
        <is>
          <t>—</t>
        </is>
      </c>
      <c r="Q61" s="0" t="inlineStr">
        <is>
          <t>—</t>
        </is>
      </c>
    </row>
    <row r="62">
      <c r="A62" s="0" t="inlineStr">
        <is>
          <t>2026-05-29</t>
        </is>
      </c>
      <c r="B62" s="0" t="inlineStr">
        <is>
          <t>科创50</t>
        </is>
      </c>
      <c r="C62" s="0" t="inlineStr">
        <is>
          <t>588050.SH</t>
        </is>
      </c>
      <c r="D62" s="0" t="n">
        <v>60000</v>
      </c>
      <c r="E62" s="0" t="n">
        <v>1.838</v>
      </c>
      <c r="F62" s="0" t="n">
        <v>110280</v>
      </c>
      <c r="G62" s="0" t="n">
        <v>1.794</v>
      </c>
      <c r="H62" s="0" t="inlineStr">
        <is>
          <t>-5.18%</t>
        </is>
      </c>
      <c r="I62" s="0" t="n">
        <v>81</v>
      </c>
      <c r="J62" s="0" t="n">
        <v>107640</v>
      </c>
      <c r="K62" s="0" t="n">
        <v>-2640</v>
      </c>
      <c r="L62" s="0" t="inlineStr">
        <is>
          <t>-2.39%</t>
        </is>
      </c>
      <c r="M62" s="0" t="inlineStr">
        <is>
          <t>5%</t>
        </is>
      </c>
      <c r="N62" s="0" t="inlineStr">
        <is>
          <t>2.15%</t>
        </is>
      </c>
      <c r="O62" s="0" t="inlineStr">
        <is>
          <t>-2.8%</t>
        </is>
      </c>
      <c r="P62" s="0" t="inlineStr">
        <is>
          <t>—</t>
        </is>
      </c>
      <c r="Q62" s="0" t="inlineStr">
        <is>
          <t>—</t>
        </is>
      </c>
    </row>
    <row r="63">
      <c r="A63" s="0" t="inlineStr">
        <is>
          <t>2026-05-29</t>
        </is>
      </c>
      <c r="B63" s="0" t="inlineStr">
        <is>
          <t>创业板</t>
        </is>
      </c>
      <c r="C63" s="0" t="inlineStr">
        <is>
          <t>159915.SZ</t>
        </is>
      </c>
      <c r="D63" s="0" t="n">
        <v>63000</v>
      </c>
      <c r="E63" s="0" t="n">
        <v>3.968</v>
      </c>
      <c r="F63" s="0" t="n">
        <v>249984</v>
      </c>
      <c r="G63" s="0" t="n">
        <v>4.053</v>
      </c>
      <c r="H63" s="0" t="inlineStr">
        <is>
          <t>-2.05%</t>
        </is>
      </c>
      <c r="I63" s="0" t="n">
        <v>663</v>
      </c>
      <c r="J63" s="0" t="n">
        <v>255339</v>
      </c>
      <c r="K63" s="0" t="n">
        <v>5355</v>
      </c>
      <c r="L63" s="0" t="inlineStr">
        <is>
          <t>2.14%</t>
        </is>
      </c>
      <c r="M63" s="0" t="inlineStr">
        <is>
          <t>5%</t>
        </is>
      </c>
      <c r="N63" s="0" t="inlineStr">
        <is>
          <t>5.10%</t>
        </is>
      </c>
      <c r="O63" s="0" t="inlineStr">
        <is>
          <t>+0.1%</t>
        </is>
      </c>
      <c r="P63" s="0" t="inlineStr">
        <is>
          <t>—</t>
        </is>
      </c>
      <c r="Q63" s="0" t="inlineStr">
        <is>
          <t>—</t>
        </is>
      </c>
    </row>
    <row r="64">
      <c r="A64" s="0" t="inlineStr">
        <is>
          <t>2026-05-29</t>
        </is>
      </c>
      <c r="B64" s="0" t="inlineStr">
        <is>
          <t>红利低波</t>
        </is>
      </c>
      <c r="C64" s="0" t="inlineStr">
        <is>
          <t>512890.SH</t>
        </is>
      </c>
      <c r="D64" s="0" t="n">
        <v>218000</v>
      </c>
      <c r="E64" s="0" t="n">
        <v>1.15</v>
      </c>
      <c r="F64" s="0" t="n">
        <v>250700</v>
      </c>
      <c r="G64" s="0" t="n">
        <v>1.167</v>
      </c>
      <c r="H64" s="0" t="inlineStr">
        <is>
          <t>+2.01%</t>
        </is>
      </c>
      <c r="I64" s="0" t="n">
        <v>92</v>
      </c>
      <c r="J64" s="0" t="n">
        <v>254406</v>
      </c>
      <c r="K64" s="0" t="n">
        <v>3706</v>
      </c>
      <c r="L64" s="0" t="inlineStr">
        <is>
          <t>1.48%</t>
        </is>
      </c>
      <c r="M64" s="0" t="inlineStr">
        <is>
          <t>5%</t>
        </is>
      </c>
      <c r="N64" s="0" t="inlineStr">
        <is>
          <t>5.08%</t>
        </is>
      </c>
      <c r="O64" s="0" t="inlineStr">
        <is>
          <t>+0.1%</t>
        </is>
      </c>
      <c r="P64" s="0" t="inlineStr">
        <is>
          <t>—</t>
        </is>
      </c>
      <c r="Q64" s="0" t="inlineStr">
        <is>
          <t>—</t>
        </is>
      </c>
    </row>
    <row r="65">
      <c r="A65" s="0" t="inlineStr">
        <is>
          <t>2026-05-29</t>
        </is>
      </c>
      <c r="B65" s="0" t="inlineStr">
        <is>
          <t>十年国债</t>
        </is>
      </c>
      <c r="C65" s="0" t="inlineStr">
        <is>
          <t>511260.SH</t>
        </is>
      </c>
      <c r="D65" s="0" t="n">
        <v>3700</v>
      </c>
      <c r="E65" s="0" t="n">
        <v>135.645</v>
      </c>
      <c r="F65" s="0" t="n">
        <v>501886.5</v>
      </c>
      <c r="G65" s="0" t="n">
        <v>136.008</v>
      </c>
      <c r="H65" s="0" t="inlineStr">
        <is>
          <t>+0.02%</t>
        </is>
      </c>
      <c r="I65" s="0" t="n">
        <v>131</v>
      </c>
      <c r="J65" s="0" t="n">
        <v>503229.6</v>
      </c>
      <c r="K65" s="0" t="n">
        <v>1343.1</v>
      </c>
      <c r="L65" s="0" t="inlineStr">
        <is>
          <t>0.27%</t>
        </is>
      </c>
      <c r="M65" s="0" t="inlineStr">
        <is>
          <t>10%</t>
        </is>
      </c>
      <c r="N65" s="0" t="inlineStr">
        <is>
          <t>10.05%</t>
        </is>
      </c>
      <c r="O65" s="0" t="inlineStr">
        <is>
          <t>+0.1%</t>
        </is>
      </c>
      <c r="P65" s="0" t="inlineStr">
        <is>
          <t>—</t>
        </is>
      </c>
      <c r="Q65" s="0" t="inlineStr">
        <is>
          <t>—</t>
        </is>
      </c>
    </row>
    <row r="66">
      <c r="A66" s="0" t="inlineStr">
        <is>
          <t>2026-05-29</t>
        </is>
      </c>
      <c r="B66" s="0" t="inlineStr">
        <is>
          <t>五年国债</t>
        </is>
      </c>
      <c r="C66" s="0" t="inlineStr">
        <is>
          <t>511010.SH</t>
        </is>
      </c>
      <c r="D66" s="0" t="n">
        <v>3500</v>
      </c>
      <c r="E66" s="0" t="n">
        <v>141.2121</v>
      </c>
      <c r="F66" s="0" t="n">
        <v>494242.35</v>
      </c>
      <c r="G66" s="0" t="n">
        <v>141.499</v>
      </c>
      <c r="H66" s="0" t="inlineStr">
        <is>
          <t>+0.06%</t>
        </is>
      </c>
      <c r="I66" s="0" t="n">
        <v>94</v>
      </c>
      <c r="J66" s="0" t="n">
        <v>495246.5</v>
      </c>
      <c r="K66" s="0" t="n">
        <v>1004.15</v>
      </c>
      <c r="L66" s="0" t="inlineStr">
        <is>
          <t>0.20%</t>
        </is>
      </c>
      <c r="M66" s="0" t="inlineStr">
        <is>
          <t>10%</t>
        </is>
      </c>
      <c r="N66" s="0" t="inlineStr">
        <is>
          <t>9.90%</t>
        </is>
      </c>
      <c r="O66" s="0" t="inlineStr">
        <is>
          <t>-0.1%</t>
        </is>
      </c>
      <c r="P66" s="0" t="inlineStr">
        <is>
          <t>—</t>
        </is>
      </c>
      <c r="Q66" s="0" t="inlineStr">
        <is>
          <t>—</t>
        </is>
      </c>
    </row>
    <row r="67">
      <c r="A67" s="0" t="inlineStr">
        <is>
          <t>2026-05-29</t>
        </is>
      </c>
      <c r="B67" s="0" t="inlineStr">
        <is>
          <t>短融</t>
        </is>
      </c>
      <c r="C67" s="0" t="inlineStr">
        <is>
          <t>511360.SH</t>
        </is>
      </c>
      <c r="D67" s="0" t="n">
        <v>2200</v>
      </c>
      <c r="E67" s="0" t="n">
        <v>113.462</v>
      </c>
      <c r="F67" s="0" t="n">
        <v>249616.4</v>
      </c>
      <c r="G67" s="0" t="n">
        <v>113.525</v>
      </c>
      <c r="H67" s="0" t="inlineStr">
        <is>
          <t>+0.01%</t>
        </is>
      </c>
      <c r="I67" s="0" t="n">
        <v>1187</v>
      </c>
      <c r="J67" s="0" t="n">
        <v>249755</v>
      </c>
      <c r="K67" s="0" t="n">
        <v>138.6</v>
      </c>
      <c r="L67" s="0" t="inlineStr">
        <is>
          <t>0.06%</t>
        </is>
      </c>
      <c r="M67" s="0" t="inlineStr">
        <is>
          <t>5%</t>
        </is>
      </c>
      <c r="N67" s="0" t="inlineStr">
        <is>
          <t>4.99%</t>
        </is>
      </c>
      <c r="O67" s="0" t="inlineStr">
        <is>
          <t>-0.0%</t>
        </is>
      </c>
      <c r="P67" s="0" t="inlineStr">
        <is>
          <t>—</t>
        </is>
      </c>
      <c r="Q67" s="0" t="inlineStr">
        <is>
          <t>—</t>
        </is>
      </c>
    </row>
    <row r="68">
      <c r="A68" s="0" t="inlineStr">
        <is>
          <t>2026-05-29</t>
        </is>
      </c>
      <c r="B68" s="0" t="inlineStr">
        <is>
          <t>黄金</t>
        </is>
      </c>
      <c r="C68" s="0" t="inlineStr">
        <is>
          <t>518880.SH</t>
        </is>
      </c>
      <c r="D68" s="0" t="n">
        <v>39800</v>
      </c>
      <c r="E68" s="0" t="n">
        <v>9.396599999999999</v>
      </c>
      <c r="F68" s="0" t="n">
        <v>373984.68</v>
      </c>
      <c r="G68" s="0" t="n">
        <v>9.397</v>
      </c>
      <c r="H68" s="0" t="inlineStr">
        <is>
          <t>+2.90%</t>
        </is>
      </c>
      <c r="I68" s="0" t="n">
        <v>326</v>
      </c>
      <c r="J68" s="0" t="n">
        <v>374000.6</v>
      </c>
      <c r="K68" s="0" t="n">
        <v>15.92</v>
      </c>
      <c r="L68" s="0" t="inlineStr">
        <is>
          <t>0.00%</t>
        </is>
      </c>
      <c r="M68" s="0" t="inlineStr">
        <is>
          <t>15%</t>
        </is>
      </c>
      <c r="N68" s="0" t="inlineStr">
        <is>
          <t>7.47%</t>
        </is>
      </c>
      <c r="O68" s="0" t="inlineStr">
        <is>
          <t>-7.5%</t>
        </is>
      </c>
      <c r="P68" s="0" t="inlineStr">
        <is>
          <t>—</t>
        </is>
      </c>
      <c r="Q68" s="0" t="inlineStr">
        <is>
          <t>—</t>
        </is>
      </c>
    </row>
    <row r="69">
      <c r="A69" s="0" t="inlineStr">
        <is>
          <t>2026-05-29</t>
        </is>
      </c>
      <c r="B69" s="0" t="inlineStr">
        <is>
          <t>华宝添益</t>
        </is>
      </c>
      <c r="C69" s="0" t="inlineStr">
        <is>
          <t>511990.SH</t>
        </is>
      </c>
      <c r="D69" s="0" t="n">
        <v>2500</v>
      </c>
      <c r="E69" s="0" t="n">
        <v>99.997</v>
      </c>
      <c r="F69" s="0" t="n">
        <v>249992.5</v>
      </c>
      <c r="G69" s="0" t="n">
        <v>100.003</v>
      </c>
      <c r="H69" s="0" t="inlineStr">
        <is>
          <t>+0.01%</t>
        </is>
      </c>
      <c r="I69" s="0" t="n">
        <v>1170</v>
      </c>
      <c r="J69" s="0" t="n">
        <v>250007.5</v>
      </c>
      <c r="K69" s="0" t="n">
        <v>15</v>
      </c>
      <c r="L69" s="0" t="inlineStr">
        <is>
          <t>0.01%</t>
        </is>
      </c>
      <c r="M69" s="0" t="inlineStr">
        <is>
          <t>5%</t>
        </is>
      </c>
      <c r="N69" s="0" t="inlineStr">
        <is>
          <t>5.00%</t>
        </is>
      </c>
      <c r="O69" s="0" t="inlineStr">
        <is>
          <t>-0.0%</t>
        </is>
      </c>
      <c r="P69" s="0" t="inlineStr">
        <is>
          <t>—</t>
        </is>
      </c>
      <c r="Q69" s="0" t="inlineStr">
        <is>
          <t>—</t>
        </is>
      </c>
    </row>
    <row r="70">
      <c r="A70" s="0" t="inlineStr">
        <is>
          <t>2026-06-01</t>
        </is>
      </c>
      <c r="B70" s="0" t="inlineStr">
        <is>
          <t>沪深300</t>
        </is>
      </c>
      <c r="C70" s="0" t="inlineStr">
        <is>
          <t>510300.SH</t>
        </is>
      </c>
      <c r="D70" s="0" t="n">
        <v>110000</v>
      </c>
      <c r="E70" s="0" t="n">
        <v>4.914</v>
      </c>
      <c r="F70" s="0" t="n">
        <v>540540</v>
      </c>
      <c r="G70" s="0" t="n">
        <v>4.868</v>
      </c>
      <c r="H70" s="0" t="inlineStr">
        <is>
          <t>-1.12%</t>
        </is>
      </c>
      <c r="I70" s="0" t="n">
        <v>244</v>
      </c>
      <c r="J70" s="0" t="n">
        <v>535480</v>
      </c>
      <c r="K70" s="0" t="n">
        <v>-5060</v>
      </c>
      <c r="L70" s="0" t="inlineStr">
        <is>
          <t>-0.94%</t>
        </is>
      </c>
      <c r="M70" s="0" t="inlineStr">
        <is>
          <t>15%</t>
        </is>
      </c>
      <c r="N70" s="0" t="inlineStr">
        <is>
          <t>10.74%</t>
        </is>
      </c>
      <c r="O70" s="0" t="inlineStr">
        <is>
          <t>-4.3%</t>
        </is>
      </c>
      <c r="P70" s="0" t="inlineStr">
        <is>
          <t>—</t>
        </is>
      </c>
      <c r="Q70" s="0" t="inlineStr">
        <is>
          <t>—</t>
        </is>
      </c>
    </row>
    <row r="71">
      <c r="A71" s="0" t="inlineStr">
        <is>
          <t>2026-06-01</t>
        </is>
      </c>
      <c r="B71" s="0" t="inlineStr">
        <is>
          <t>中证500</t>
        </is>
      </c>
      <c r="C71" s="0" t="inlineStr">
        <is>
          <t>510500.SH</t>
        </is>
      </c>
      <c r="D71" s="0" t="n">
        <v>20000</v>
      </c>
      <c r="E71" s="0" t="n">
        <v>8.696</v>
      </c>
      <c r="F71" s="0" t="n">
        <v>173920</v>
      </c>
      <c r="G71" s="0" t="n">
        <v>8.369999999999999</v>
      </c>
      <c r="H71" s="0" t="inlineStr">
        <is>
          <t>-0.87%</t>
        </is>
      </c>
      <c r="I71" s="0" t="n">
        <v>344</v>
      </c>
      <c r="J71" s="0" t="n">
        <v>167400</v>
      </c>
      <c r="K71" s="0" t="n">
        <v>-6520</v>
      </c>
      <c r="L71" s="0" t="inlineStr">
        <is>
          <t>-3.75%</t>
        </is>
      </c>
      <c r="M71" s="0" t="inlineStr">
        <is>
          <t>10%</t>
        </is>
      </c>
      <c r="N71" s="0" t="inlineStr">
        <is>
          <t>3.36%</t>
        </is>
      </c>
      <c r="O71" s="0" t="inlineStr">
        <is>
          <t>-6.6%</t>
        </is>
      </c>
      <c r="P71" s="0" t="inlineStr">
        <is>
          <t>—</t>
        </is>
      </c>
      <c r="Q71" s="0" t="inlineStr">
        <is>
          <t>—</t>
        </is>
      </c>
    </row>
    <row r="72">
      <c r="A72" s="0" t="inlineStr">
        <is>
          <t>2026-06-01</t>
        </is>
      </c>
      <c r="B72" s="0" t="inlineStr">
        <is>
          <t>科创50</t>
        </is>
      </c>
      <c r="C72" s="0" t="inlineStr">
        <is>
          <t>588050.SH</t>
        </is>
      </c>
      <c r="D72" s="0" t="n">
        <v>60000</v>
      </c>
      <c r="E72" s="0" t="n">
        <v>1.838</v>
      </c>
      <c r="F72" s="0" t="n">
        <v>110280</v>
      </c>
      <c r="G72" s="0" t="n">
        <v>1.707</v>
      </c>
      <c r="H72" s="0" t="inlineStr">
        <is>
          <t>-4.85%</t>
        </is>
      </c>
      <c r="I72" s="0" t="n">
        <v>44</v>
      </c>
      <c r="J72" s="0" t="n">
        <v>102420</v>
      </c>
      <c r="K72" s="0" t="n">
        <v>-7860</v>
      </c>
      <c r="L72" s="0" t="inlineStr">
        <is>
          <t>-7.13%</t>
        </is>
      </c>
      <c r="M72" s="0" t="inlineStr">
        <is>
          <t>5%</t>
        </is>
      </c>
      <c r="N72" s="0" t="inlineStr">
        <is>
          <t>2.05%</t>
        </is>
      </c>
      <c r="O72" s="0" t="inlineStr">
        <is>
          <t>-2.9%</t>
        </is>
      </c>
      <c r="P72" s="0" t="inlineStr">
        <is>
          <t>—</t>
        </is>
      </c>
      <c r="Q72" s="0" t="inlineStr">
        <is>
          <t>预警</t>
        </is>
      </c>
    </row>
    <row r="73">
      <c r="A73" s="0" t="inlineStr">
        <is>
          <t>2026-06-01</t>
        </is>
      </c>
      <c r="B73" s="0" t="inlineStr">
        <is>
          <t>创业板</t>
        </is>
      </c>
      <c r="C73" s="0" t="inlineStr">
        <is>
          <t>159915.SZ</t>
        </is>
      </c>
      <c r="D73" s="0" t="n">
        <v>63000</v>
      </c>
      <c r="E73" s="0" t="n">
        <v>3.968</v>
      </c>
      <c r="F73" s="0" t="n">
        <v>249984</v>
      </c>
      <c r="G73" s="0" t="n">
        <v>3.964</v>
      </c>
      <c r="H73" s="0" t="inlineStr">
        <is>
          <t>-2.20%</t>
        </is>
      </c>
      <c r="I73" s="0" t="n">
        <v>533</v>
      </c>
      <c r="J73" s="0" t="n">
        <v>249732</v>
      </c>
      <c r="K73" s="0" t="n">
        <v>-252</v>
      </c>
      <c r="L73" s="0" t="inlineStr">
        <is>
          <t>-0.10%</t>
        </is>
      </c>
      <c r="M73" s="0" t="inlineStr">
        <is>
          <t>5%</t>
        </is>
      </c>
      <c r="N73" s="0" t="inlineStr">
        <is>
          <t>5.01%</t>
        </is>
      </c>
      <c r="O73" s="0" t="inlineStr">
        <is>
          <t>+0.0%</t>
        </is>
      </c>
      <c r="P73" s="0" t="inlineStr">
        <is>
          <t>—</t>
        </is>
      </c>
      <c r="Q73" s="0" t="inlineStr">
        <is>
          <t>—</t>
        </is>
      </c>
    </row>
    <row r="74">
      <c r="A74" s="0" t="inlineStr">
        <is>
          <t>2026-06-01</t>
        </is>
      </c>
      <c r="B74" s="0" t="inlineStr">
        <is>
          <t>红利低波</t>
        </is>
      </c>
      <c r="C74" s="0" t="inlineStr">
        <is>
          <t>512890.SH</t>
        </is>
      </c>
      <c r="D74" s="0" t="n">
        <v>218000</v>
      </c>
      <c r="E74" s="0" t="n">
        <v>1.15</v>
      </c>
      <c r="F74" s="0" t="n">
        <v>250700</v>
      </c>
      <c r="G74" s="0" t="n">
        <v>1.181</v>
      </c>
      <c r="H74" s="0" t="inlineStr">
        <is>
          <t>+1.20%</t>
        </is>
      </c>
      <c r="I74" s="0" t="n">
        <v>96</v>
      </c>
      <c r="J74" s="0" t="n">
        <v>257458</v>
      </c>
      <c r="K74" s="0" t="n">
        <v>6758</v>
      </c>
      <c r="L74" s="0" t="inlineStr">
        <is>
          <t>2.70%</t>
        </is>
      </c>
      <c r="M74" s="0" t="inlineStr">
        <is>
          <t>5%</t>
        </is>
      </c>
      <c r="N74" s="0" t="inlineStr">
        <is>
          <t>5.16%</t>
        </is>
      </c>
      <c r="O74" s="0" t="inlineStr">
        <is>
          <t>+0.2%</t>
        </is>
      </c>
      <c r="P74" s="0" t="inlineStr">
        <is>
          <t>—</t>
        </is>
      </c>
      <c r="Q74" s="0" t="inlineStr">
        <is>
          <t>—</t>
        </is>
      </c>
    </row>
    <row r="75">
      <c r="A75" s="0" t="inlineStr">
        <is>
          <t>2026-06-01</t>
        </is>
      </c>
      <c r="B75" s="0" t="inlineStr">
        <is>
          <t>十年国债</t>
        </is>
      </c>
      <c r="C75" s="0" t="inlineStr">
        <is>
          <t>511260.SH</t>
        </is>
      </c>
      <c r="D75" s="0" t="n">
        <v>3700</v>
      </c>
      <c r="E75" s="0" t="n">
        <v>135.645</v>
      </c>
      <c r="F75" s="0" t="n">
        <v>501886.5</v>
      </c>
      <c r="G75" s="0" t="n">
        <v>136.091</v>
      </c>
      <c r="H75" s="0" t="inlineStr">
        <is>
          <t>+0.06%</t>
        </is>
      </c>
      <c r="I75" s="0" t="n">
        <v>127</v>
      </c>
      <c r="J75" s="0" t="n">
        <v>503536.7</v>
      </c>
      <c r="K75" s="0" t="n">
        <v>1650.2</v>
      </c>
      <c r="L75" s="0" t="inlineStr">
        <is>
          <t>0.33%</t>
        </is>
      </c>
      <c r="M75" s="0" t="inlineStr">
        <is>
          <t>10%</t>
        </is>
      </c>
      <c r="N75" s="0" t="inlineStr">
        <is>
          <t>10.10%</t>
        </is>
      </c>
      <c r="O75" s="0" t="inlineStr">
        <is>
          <t>+0.1%</t>
        </is>
      </c>
      <c r="P75" s="0" t="inlineStr">
        <is>
          <t>—</t>
        </is>
      </c>
      <c r="Q75" s="0" t="inlineStr">
        <is>
          <t>—</t>
        </is>
      </c>
    </row>
    <row r="76">
      <c r="A76" s="0" t="inlineStr">
        <is>
          <t>2026-06-01</t>
        </is>
      </c>
      <c r="B76" s="0" t="inlineStr">
        <is>
          <t>五年国债</t>
        </is>
      </c>
      <c r="C76" s="0" t="inlineStr">
        <is>
          <t>511010.SH</t>
        </is>
      </c>
      <c r="D76" s="0" t="n">
        <v>3500</v>
      </c>
      <c r="E76" s="0" t="n">
        <v>141.2121</v>
      </c>
      <c r="F76" s="0" t="n">
        <v>494242.35</v>
      </c>
      <c r="G76" s="0" t="n">
        <v>141.504</v>
      </c>
      <c r="H76" s="0" t="inlineStr">
        <is>
          <t>+0.00%</t>
        </is>
      </c>
      <c r="I76" s="0" t="n">
        <v>38</v>
      </c>
      <c r="J76" s="0" t="n">
        <v>495264</v>
      </c>
      <c r="K76" s="0" t="n">
        <v>1021.65</v>
      </c>
      <c r="L76" s="0" t="inlineStr">
        <is>
          <t>0.21%</t>
        </is>
      </c>
      <c r="M76" s="0" t="inlineStr">
        <is>
          <t>10%</t>
        </is>
      </c>
      <c r="N76" s="0" t="inlineStr">
        <is>
          <t>9.93%</t>
        </is>
      </c>
      <c r="O76" s="0" t="inlineStr">
        <is>
          <t>-0.1%</t>
        </is>
      </c>
      <c r="P76" s="0" t="inlineStr">
        <is>
          <t>—</t>
        </is>
      </c>
      <c r="Q76" s="0" t="inlineStr">
        <is>
          <t>—</t>
        </is>
      </c>
    </row>
    <row r="77">
      <c r="A77" s="0" t="inlineStr">
        <is>
          <t>2026-06-01</t>
        </is>
      </c>
      <c r="B77" s="0" t="inlineStr">
        <is>
          <t>短融</t>
        </is>
      </c>
      <c r="C77" s="0" t="inlineStr">
        <is>
          <t>511360.SH</t>
        </is>
      </c>
      <c r="D77" s="0" t="n">
        <v>2200</v>
      </c>
      <c r="E77" s="0" t="n">
        <v>113.462</v>
      </c>
      <c r="F77" s="0" t="n">
        <v>249616.4</v>
      </c>
      <c r="G77" s="0" t="n">
        <v>113.525</v>
      </c>
      <c r="H77" s="0" t="inlineStr">
        <is>
          <t>+0.00%</t>
        </is>
      </c>
      <c r="I77" s="0" t="n">
        <v>1357</v>
      </c>
      <c r="J77" s="0" t="n">
        <v>249755</v>
      </c>
      <c r="K77" s="0" t="n">
        <v>138.6</v>
      </c>
      <c r="L77" s="0" t="inlineStr">
        <is>
          <t>0.06%</t>
        </is>
      </c>
      <c r="M77" s="0" t="inlineStr">
        <is>
          <t>5%</t>
        </is>
      </c>
      <c r="N77" s="0" t="inlineStr">
        <is>
          <t>5.01%</t>
        </is>
      </c>
      <c r="O77" s="0" t="inlineStr">
        <is>
          <t>+0.0%</t>
        </is>
      </c>
      <c r="P77" s="0" t="inlineStr">
        <is>
          <t>—</t>
        </is>
      </c>
      <c r="Q77" s="0" t="inlineStr">
        <is>
          <t>—</t>
        </is>
      </c>
    </row>
    <row r="78">
      <c r="A78" s="0" t="inlineStr">
        <is>
          <t>2026-06-01</t>
        </is>
      </c>
      <c r="B78" s="0" t="inlineStr">
        <is>
          <t>黄金</t>
        </is>
      </c>
      <c r="C78" s="0" t="inlineStr">
        <is>
          <t>518880.SH</t>
        </is>
      </c>
      <c r="D78" s="0" t="n">
        <v>39800</v>
      </c>
      <c r="E78" s="0" t="n">
        <v>9.396599999999999</v>
      </c>
      <c r="F78" s="0" t="n">
        <v>373984.68</v>
      </c>
      <c r="G78" s="0" t="n">
        <v>9.343999999999999</v>
      </c>
      <c r="H78" s="0" t="inlineStr">
        <is>
          <t>-0.56%</t>
        </is>
      </c>
      <c r="I78" s="0" t="n">
        <v>243</v>
      </c>
      <c r="J78" s="0" t="n">
        <v>371891.2</v>
      </c>
      <c r="K78" s="0" t="n">
        <v>-2093.48</v>
      </c>
      <c r="L78" s="0" t="inlineStr">
        <is>
          <t>-0.56%</t>
        </is>
      </c>
      <c r="M78" s="0" t="inlineStr">
        <is>
          <t>15%</t>
        </is>
      </c>
      <c r="N78" s="0" t="inlineStr">
        <is>
          <t>7.46%</t>
        </is>
      </c>
      <c r="O78" s="0" t="inlineStr">
        <is>
          <t>-7.5%</t>
        </is>
      </c>
      <c r="P78" s="0" t="inlineStr">
        <is>
          <t>—</t>
        </is>
      </c>
      <c r="Q78" s="0" t="inlineStr">
        <is>
          <t>—</t>
        </is>
      </c>
    </row>
    <row r="79">
      <c r="A79" s="0" t="inlineStr">
        <is>
          <t>2026-06-01</t>
        </is>
      </c>
      <c r="B79" s="0" t="inlineStr">
        <is>
          <t>华宝添益</t>
        </is>
      </c>
      <c r="C79" s="0" t="inlineStr">
        <is>
          <t>511990.SH</t>
        </is>
      </c>
      <c r="D79" s="0" t="n">
        <v>2500</v>
      </c>
      <c r="E79" s="0" t="n">
        <v>99.997</v>
      </c>
      <c r="F79" s="0" t="n">
        <v>249992.5</v>
      </c>
      <c r="G79" s="0" t="n">
        <v>99.996</v>
      </c>
      <c r="H79" s="0" t="inlineStr">
        <is>
          <t>-0.01%</t>
        </is>
      </c>
      <c r="I79" s="0" t="n">
        <v>1103</v>
      </c>
      <c r="J79" s="0" t="n">
        <v>249990</v>
      </c>
      <c r="K79" s="0" t="n">
        <v>-2.5</v>
      </c>
      <c r="L79" s="0" t="inlineStr">
        <is>
          <t>-0.00%</t>
        </is>
      </c>
      <c r="M79" s="0" t="inlineStr">
        <is>
          <t>5%</t>
        </is>
      </c>
      <c r="N79" s="0" t="inlineStr">
        <is>
          <t>5.01%</t>
        </is>
      </c>
      <c r="O79" s="0" t="inlineStr">
        <is>
          <t>+0.0%</t>
        </is>
      </c>
      <c r="P79" s="0" t="inlineStr">
        <is>
          <t>—</t>
        </is>
      </c>
      <c r="Q79" s="0" t="inlineStr">
        <is>
          <t>—</t>
        </is>
      </c>
    </row>
    <row r="80">
      <c r="A80" s="0" t="inlineStr">
        <is>
          <t>20260601</t>
        </is>
      </c>
      <c r="B80" s="0" t="inlineStr">
        <is>
          <t>沪深300ETF</t>
        </is>
      </c>
      <c r="C80" s="0" t="inlineStr">
        <is>
          <t>510300</t>
        </is>
      </c>
      <c r="H80" s="0" t="n">
        <v>4.868</v>
      </c>
      <c r="I80" s="0" t="n">
        <v>-5060</v>
      </c>
      <c r="J80" s="0" t="n">
        <v>-0.0094</v>
      </c>
      <c r="N80" s="0" t="inlineStr">
        <is>
          <t>📊权重预警偏离-4.3%</t>
        </is>
      </c>
    </row>
    <row r="81">
      <c r="A81" s="0" t="inlineStr">
        <is>
          <t>20260601</t>
        </is>
      </c>
      <c r="B81" s="0" t="inlineStr">
        <is>
          <t>中证500ETF</t>
        </is>
      </c>
      <c r="C81" s="0" t="inlineStr">
        <is>
          <t>510500</t>
        </is>
      </c>
      <c r="H81" s="0" t="n">
        <v>8.369999999999999</v>
      </c>
      <c r="I81" s="0" t="n">
        <v>-6520</v>
      </c>
      <c r="J81" s="0" t="n">
        <v>-0.0375</v>
      </c>
      <c r="N81" s="0" t="inlineStr">
        <is>
          <t>📊权重预警偏离-6.6%</t>
        </is>
      </c>
    </row>
    <row r="82">
      <c r="A82" s="0" t="inlineStr">
        <is>
          <t>20260601</t>
        </is>
      </c>
      <c r="B82" s="0" t="inlineStr">
        <is>
          <t>科创50ETF</t>
        </is>
      </c>
      <c r="C82" s="0" t="inlineStr">
        <is>
          <t>588050</t>
        </is>
      </c>
      <c r="H82" s="0" t="n">
        <v>1.707</v>
      </c>
      <c r="I82" s="0" t="n">
        <v>-7860</v>
      </c>
      <c r="J82" s="0" t="n">
        <v>-0.0713</v>
      </c>
      <c r="N82" s="0" t="inlineStr">
        <is>
          <t>⚡预警：浮亏-7.1% &gt;= -5%，暂停新增买入</t>
        </is>
      </c>
    </row>
    <row r="83">
      <c r="A83" s="0" t="inlineStr">
        <is>
          <t>20260601</t>
        </is>
      </c>
      <c r="B83" s="0" t="inlineStr">
        <is>
          <t>创业板ETF</t>
        </is>
      </c>
      <c r="C83" s="0" t="inlineStr">
        <is>
          <t>159915</t>
        </is>
      </c>
      <c r="H83" s="0" t="n">
        <v>3.964</v>
      </c>
      <c r="I83" s="0" t="n">
        <v>-252</v>
      </c>
      <c r="J83" s="0" t="n">
        <v>-0.001</v>
      </c>
      <c r="N83" s="0" t="inlineStr">
        <is>
          <t>—</t>
        </is>
      </c>
    </row>
    <row r="84">
      <c r="A84" s="0" t="inlineStr">
        <is>
          <t>20260601</t>
        </is>
      </c>
      <c r="B84" s="0" t="inlineStr">
        <is>
          <t>红利低波ETF</t>
        </is>
      </c>
      <c r="C84" s="0" t="inlineStr">
        <is>
          <t>512890</t>
        </is>
      </c>
      <c r="H84" s="0" t="n">
        <v>1.181</v>
      </c>
      <c r="I84" s="0" t="n">
        <v>6758</v>
      </c>
      <c r="J84" s="0" t="n">
        <v>0.027</v>
      </c>
      <c r="N84" s="0" t="inlineStr">
        <is>
          <t>—</t>
        </is>
      </c>
    </row>
    <row r="85">
      <c r="A85" s="0" t="inlineStr">
        <is>
          <t>20260601</t>
        </is>
      </c>
      <c r="B85" s="0" t="inlineStr">
        <is>
          <t>可转债ETF</t>
        </is>
      </c>
      <c r="C85" s="0" t="inlineStr">
        <is>
          <t>511380</t>
        </is>
      </c>
      <c r="H85" s="0" t="n">
        <v>14.037</v>
      </c>
      <c r="I85" s="0" t="n">
        <v>0</v>
      </c>
      <c r="N85" s="0" t="inlineStr">
        <is>
          <t>—</t>
        </is>
      </c>
    </row>
    <row r="86">
      <c r="A86" s="0" t="inlineStr">
        <is>
          <t>20260601</t>
        </is>
      </c>
      <c r="B86" s="0" t="inlineStr">
        <is>
          <t>10年国债ETF</t>
        </is>
      </c>
      <c r="C86" s="0" t="inlineStr">
        <is>
          <t>511260</t>
        </is>
      </c>
      <c r="H86" s="0" t="n">
        <v>136.091</v>
      </c>
      <c r="I86" s="0" t="n">
        <v>1650.2</v>
      </c>
      <c r="J86" s="0" t="n">
        <v>0.0033</v>
      </c>
      <c r="N86" s="0" t="inlineStr">
        <is>
          <t>—</t>
        </is>
      </c>
    </row>
    <row r="87">
      <c r="A87" s="0" t="inlineStr">
        <is>
          <t>20260601</t>
        </is>
      </c>
      <c r="B87" s="0" t="inlineStr">
        <is>
          <t>5年国债ETF</t>
        </is>
      </c>
      <c r="C87" s="0" t="inlineStr">
        <is>
          <t>511010</t>
        </is>
      </c>
      <c r="H87" s="0" t="n">
        <v>141.504</v>
      </c>
      <c r="I87" s="0" t="n">
        <v>1021.65</v>
      </c>
      <c r="J87" s="0" t="n">
        <v>0.0021</v>
      </c>
      <c r="N87" s="0" t="inlineStr">
        <is>
          <t>—</t>
        </is>
      </c>
    </row>
    <row r="88">
      <c r="A88" s="0" t="inlineStr">
        <is>
          <t>20260601</t>
        </is>
      </c>
      <c r="B88" s="0" t="inlineStr">
        <is>
          <t>短融ETF</t>
        </is>
      </c>
      <c r="C88" s="0" t="inlineStr">
        <is>
          <t>511360</t>
        </is>
      </c>
      <c r="H88" s="0" t="n">
        <v>113.525</v>
      </c>
      <c r="I88" s="0" t="n">
        <v>138.6</v>
      </c>
      <c r="J88" s="0" t="n">
        <v>0.0005999999999999999</v>
      </c>
      <c r="N88" s="0" t="inlineStr">
        <is>
          <t>—</t>
        </is>
      </c>
    </row>
    <row r="89">
      <c r="A89" s="0" t="inlineStr">
        <is>
          <t>20260601</t>
        </is>
      </c>
      <c r="B89" s="0" t="inlineStr">
        <is>
          <t>黄金ETF</t>
        </is>
      </c>
      <c r="C89" s="0" t="inlineStr">
        <is>
          <t>518880</t>
        </is>
      </c>
      <c r="H89" s="0" t="n">
        <v>9.343999999999999</v>
      </c>
      <c r="I89" s="0" t="n">
        <v>-2093.48</v>
      </c>
      <c r="J89" s="0" t="n">
        <v>-0.0056</v>
      </c>
      <c r="N89" s="0" t="inlineStr">
        <is>
          <t>⚠️权重触发线偏离-7.5%</t>
        </is>
      </c>
    </row>
    <row r="90">
      <c r="A90" s="0" t="inlineStr">
        <is>
          <t>20260601</t>
        </is>
      </c>
      <c r="B90" s="0" t="inlineStr">
        <is>
          <t>银华日利ETF</t>
        </is>
      </c>
      <c r="C90" s="0" t="inlineStr">
        <is>
          <t>511880</t>
        </is>
      </c>
      <c r="H90" s="0" t="n">
        <v>100.483</v>
      </c>
      <c r="I90" s="0" t="n">
        <v>0</v>
      </c>
      <c r="N90" s="0" t="inlineStr">
        <is>
          <t>—</t>
        </is>
      </c>
    </row>
    <row r="91">
      <c r="A91" s="0" t="inlineStr">
        <is>
          <t>20260601</t>
        </is>
      </c>
      <c r="B91" s="0" t="inlineStr">
        <is>
          <t>华宝添益ETF</t>
        </is>
      </c>
      <c r="C91" s="0" t="inlineStr">
        <is>
          <t>511990</t>
        </is>
      </c>
      <c r="H91" s="0" t="n">
        <v>99.996</v>
      </c>
      <c r="I91" s="0" t="n">
        <v>-2.5</v>
      </c>
      <c r="J91" s="0" t="n">
        <v>0</v>
      </c>
      <c r="N91" s="0" t="inlineStr">
        <is>
          <t>—</t>
        </is>
      </c>
    </row>
    <row r="92">
      <c r="A92" s="0" t="inlineStr">
        <is>
          <t>20260601</t>
        </is>
      </c>
      <c r="B92" s="0" t="inlineStr">
        <is>
          <t>沪深300ETF</t>
        </is>
      </c>
      <c r="C92" s="0" t="inlineStr">
        <is>
          <t>510300</t>
        </is>
      </c>
      <c r="H92" s="0" t="n">
        <v>4.868</v>
      </c>
      <c r="I92" s="0" t="n">
        <v>-5060</v>
      </c>
      <c r="J92" s="0" t="n">
        <v>-0.0094</v>
      </c>
      <c r="N92" s="0" t="inlineStr">
        <is>
          <t>📊权重预警偏离-4.3%</t>
        </is>
      </c>
    </row>
    <row r="93">
      <c r="A93" s="0" t="inlineStr">
        <is>
          <t>20260601</t>
        </is>
      </c>
      <c r="B93" s="0" t="inlineStr">
        <is>
          <t>中证500ETF</t>
        </is>
      </c>
      <c r="C93" s="0" t="inlineStr">
        <is>
          <t>510500</t>
        </is>
      </c>
      <c r="H93" s="0" t="n">
        <v>8.369999999999999</v>
      </c>
      <c r="I93" s="0" t="n">
        <v>-6520</v>
      </c>
      <c r="J93" s="0" t="n">
        <v>-0.0375</v>
      </c>
      <c r="N93" s="0" t="inlineStr">
        <is>
          <t>📊权重预警偏离-6.6%</t>
        </is>
      </c>
    </row>
    <row r="94">
      <c r="A94" s="0" t="inlineStr">
        <is>
          <t>20260601</t>
        </is>
      </c>
      <c r="B94" s="0" t="inlineStr">
        <is>
          <t>科创50ETF</t>
        </is>
      </c>
      <c r="C94" s="0" t="inlineStr">
        <is>
          <t>588050</t>
        </is>
      </c>
      <c r="H94" s="0" t="n">
        <v>1.707</v>
      </c>
      <c r="I94" s="0" t="n">
        <v>-7860</v>
      </c>
      <c r="J94" s="0" t="n">
        <v>-0.0713</v>
      </c>
      <c r="N94" s="0" t="inlineStr">
        <is>
          <t>⚡预警：浮亏-7.1% &gt;= -5%，暂停新增买入</t>
        </is>
      </c>
    </row>
    <row r="95">
      <c r="A95" s="0" t="inlineStr">
        <is>
          <t>20260601</t>
        </is>
      </c>
      <c r="B95" s="0" t="inlineStr">
        <is>
          <t>创业板ETF</t>
        </is>
      </c>
      <c r="C95" s="0" t="inlineStr">
        <is>
          <t>159915</t>
        </is>
      </c>
      <c r="H95" s="0" t="n">
        <v>3.964</v>
      </c>
      <c r="I95" s="0" t="n">
        <v>-252</v>
      </c>
      <c r="J95" s="0" t="n">
        <v>-0.001</v>
      </c>
      <c r="N95" s="0" t="inlineStr">
        <is>
          <t>—</t>
        </is>
      </c>
    </row>
    <row r="96">
      <c r="A96" s="0" t="inlineStr">
        <is>
          <t>20260601</t>
        </is>
      </c>
      <c r="B96" s="0" t="inlineStr">
        <is>
          <t>红利低波ETF</t>
        </is>
      </c>
      <c r="C96" s="0" t="inlineStr">
        <is>
          <t>512890</t>
        </is>
      </c>
      <c r="H96" s="0" t="n">
        <v>1.181</v>
      </c>
      <c r="I96" s="0" t="n">
        <v>6758</v>
      </c>
      <c r="J96" s="0" t="n">
        <v>0.027</v>
      </c>
      <c r="N96" s="0" t="inlineStr">
        <is>
          <t>—</t>
        </is>
      </c>
    </row>
    <row r="97">
      <c r="A97" s="0" t="inlineStr">
        <is>
          <t>20260601</t>
        </is>
      </c>
      <c r="B97" s="0" t="inlineStr">
        <is>
          <t>可转债ETF</t>
        </is>
      </c>
      <c r="C97" s="0" t="inlineStr">
        <is>
          <t>511380</t>
        </is>
      </c>
      <c r="H97" s="0" t="n">
        <v>14.037</v>
      </c>
      <c r="I97" s="0" t="n">
        <v>0</v>
      </c>
      <c r="N97" s="0" t="inlineStr">
        <is>
          <t>—</t>
        </is>
      </c>
    </row>
    <row r="98">
      <c r="A98" s="0" t="inlineStr">
        <is>
          <t>20260601</t>
        </is>
      </c>
      <c r="B98" s="0" t="inlineStr">
        <is>
          <t>10年国债ETF</t>
        </is>
      </c>
      <c r="C98" s="0" t="inlineStr">
        <is>
          <t>511260</t>
        </is>
      </c>
      <c r="H98" s="0" t="n">
        <v>136.091</v>
      </c>
      <c r="I98" s="0" t="n">
        <v>1650.2</v>
      </c>
      <c r="J98" s="0" t="n">
        <v>0.0033</v>
      </c>
      <c r="N98" s="0" t="inlineStr">
        <is>
          <t>—</t>
        </is>
      </c>
    </row>
    <row r="99">
      <c r="A99" s="0" t="inlineStr">
        <is>
          <t>20260601</t>
        </is>
      </c>
      <c r="B99" s="0" t="inlineStr">
        <is>
          <t>5年国债ETF</t>
        </is>
      </c>
      <c r="C99" s="0" t="inlineStr">
        <is>
          <t>511010</t>
        </is>
      </c>
      <c r="H99" s="0" t="n">
        <v>141.504</v>
      </c>
      <c r="I99" s="0" t="n">
        <v>1021.65</v>
      </c>
      <c r="J99" s="0" t="n">
        <v>0.0021</v>
      </c>
      <c r="N99" s="0" t="inlineStr">
        <is>
          <t>—</t>
        </is>
      </c>
    </row>
    <row r="100">
      <c r="A100" s="0" t="inlineStr">
        <is>
          <t>20260601</t>
        </is>
      </c>
      <c r="B100" s="0" t="inlineStr">
        <is>
          <t>短融ETF</t>
        </is>
      </c>
      <c r="C100" s="0" t="inlineStr">
        <is>
          <t>511360</t>
        </is>
      </c>
      <c r="H100" s="0" t="n">
        <v>113.525</v>
      </c>
      <c r="I100" s="0" t="n">
        <v>138.6</v>
      </c>
      <c r="J100" s="0" t="n">
        <v>0.0005999999999999999</v>
      </c>
      <c r="N100" s="0" t="inlineStr">
        <is>
          <t>—</t>
        </is>
      </c>
    </row>
    <row r="101">
      <c r="A101" s="0" t="inlineStr">
        <is>
          <t>20260601</t>
        </is>
      </c>
      <c r="B101" s="0" t="inlineStr">
        <is>
          <t>黄金ETF</t>
        </is>
      </c>
      <c r="C101" s="0" t="inlineStr">
        <is>
          <t>518880</t>
        </is>
      </c>
      <c r="H101" s="0" t="n">
        <v>9.343999999999999</v>
      </c>
      <c r="I101" s="0" t="n">
        <v>-2093.48</v>
      </c>
      <c r="J101" s="0" t="n">
        <v>-0.0056</v>
      </c>
      <c r="N101" s="0" t="inlineStr">
        <is>
          <t>⚠️权重触发线偏离-7.5%</t>
        </is>
      </c>
    </row>
    <row r="102">
      <c r="A102" s="0" t="inlineStr">
        <is>
          <t>20260601</t>
        </is>
      </c>
      <c r="B102" s="0" t="inlineStr">
        <is>
          <t>银华日利ETF</t>
        </is>
      </c>
      <c r="C102" s="0" t="inlineStr">
        <is>
          <t>511880</t>
        </is>
      </c>
      <c r="H102" s="0" t="n">
        <v>100.483</v>
      </c>
      <c r="I102" s="0" t="n">
        <v>0</v>
      </c>
      <c r="N102" s="0" t="inlineStr">
        <is>
          <t>—</t>
        </is>
      </c>
    </row>
    <row r="103">
      <c r="A103" s="0" t="inlineStr">
        <is>
          <t>20260601</t>
        </is>
      </c>
      <c r="B103" s="0" t="inlineStr">
        <is>
          <t>华宝添益ETF</t>
        </is>
      </c>
      <c r="C103" s="0" t="inlineStr">
        <is>
          <t>511990</t>
        </is>
      </c>
      <c r="H103" s="0" t="n">
        <v>99.996</v>
      </c>
      <c r="I103" s="0" t="n">
        <v>-2.5</v>
      </c>
      <c r="J103" s="0" t="n">
        <v>0</v>
      </c>
      <c r="N103" s="0" t="inlineStr">
        <is>
          <t>—</t>
        </is>
      </c>
    </row>
    <row r="104">
      <c r="A104" s="0" t="inlineStr">
        <is>
          <t>20260602</t>
        </is>
      </c>
      <c r="B104" s="0" t="inlineStr">
        <is>
          <t>沪深300ETF</t>
        </is>
      </c>
      <c r="C104" s="0" t="inlineStr">
        <is>
          <t>510300</t>
        </is>
      </c>
      <c r="H104" s="0" t="n">
        <v>4.936</v>
      </c>
      <c r="I104" s="0" t="n">
        <v>2420</v>
      </c>
      <c r="J104" s="0" t="n">
        <v>0.0045</v>
      </c>
      <c r="N104" s="0" t="inlineStr">
        <is>
          <t>📊权重预警偏离-4.2%</t>
        </is>
      </c>
    </row>
    <row r="105">
      <c r="A105" s="0" t="inlineStr">
        <is>
          <t>20260602</t>
        </is>
      </c>
      <c r="B105" s="0" t="inlineStr">
        <is>
          <t>中证500ETF</t>
        </is>
      </c>
      <c r="C105" s="0" t="inlineStr">
        <is>
          <t>510500</t>
        </is>
      </c>
      <c r="H105" s="0" t="n">
        <v>8.406000000000001</v>
      </c>
      <c r="I105" s="0" t="n">
        <v>-5800</v>
      </c>
      <c r="J105" s="0" t="n">
        <v>-0.0333</v>
      </c>
      <c r="N105" s="0" t="inlineStr">
        <is>
          <t>📊权重预警偏离-6.6%</t>
        </is>
      </c>
    </row>
    <row r="106">
      <c r="A106" s="0" t="inlineStr">
        <is>
          <t>20260602</t>
        </is>
      </c>
      <c r="B106" s="0" t="inlineStr">
        <is>
          <t>科创50ETF</t>
        </is>
      </c>
      <c r="C106" s="0" t="inlineStr">
        <is>
          <t>588050</t>
        </is>
      </c>
      <c r="H106" s="0" t="n">
        <v>1.734</v>
      </c>
      <c r="I106" s="0" t="n">
        <v>-6240</v>
      </c>
      <c r="J106" s="0" t="n">
        <v>-0.0566</v>
      </c>
      <c r="N106" s="0" t="inlineStr">
        <is>
          <t>⚡预警：浮亏-5.7% &gt;= -5%，暂停新增买入</t>
        </is>
      </c>
    </row>
    <row r="107">
      <c r="A107" s="0" t="inlineStr">
        <is>
          <t>20260602</t>
        </is>
      </c>
      <c r="B107" s="0" t="inlineStr">
        <is>
          <t>创业板ETF</t>
        </is>
      </c>
      <c r="C107" s="0" t="inlineStr">
        <is>
          <t>159915</t>
        </is>
      </c>
      <c r="H107" s="0" t="n">
        <v>4.071</v>
      </c>
      <c r="I107" s="0" t="n">
        <v>6489</v>
      </c>
      <c r="J107" s="0" t="n">
        <v>0.026</v>
      </c>
      <c r="N107" s="0" t="inlineStr">
        <is>
          <t>—</t>
        </is>
      </c>
    </row>
    <row r="108">
      <c r="A108" s="0" t="inlineStr">
        <is>
          <t>20260602</t>
        </is>
      </c>
      <c r="B108" s="0" t="inlineStr">
        <is>
          <t>红利低波ETF</t>
        </is>
      </c>
      <c r="C108" s="0" t="inlineStr">
        <is>
          <t>512890</t>
        </is>
      </c>
      <c r="H108" s="0" t="n">
        <v>1.182</v>
      </c>
      <c r="I108" s="0" t="n">
        <v>6976</v>
      </c>
      <c r="J108" s="0" t="n">
        <v>0.0278</v>
      </c>
      <c r="N108" s="0" t="inlineStr">
        <is>
          <t>—</t>
        </is>
      </c>
    </row>
    <row r="109">
      <c r="A109" s="0" t="inlineStr">
        <is>
          <t>20260602</t>
        </is>
      </c>
      <c r="B109" s="0" t="inlineStr">
        <is>
          <t>可转债ETF</t>
        </is>
      </c>
      <c r="C109" s="0" t="inlineStr">
        <is>
          <t>511380</t>
        </is>
      </c>
      <c r="H109" s="0" t="n">
        <v>14.121</v>
      </c>
      <c r="I109" s="0" t="n">
        <v>0</v>
      </c>
      <c r="N109" s="0" t="inlineStr">
        <is>
          <t>—</t>
        </is>
      </c>
    </row>
    <row r="110">
      <c r="A110" s="0" t="inlineStr">
        <is>
          <t>20260602</t>
        </is>
      </c>
      <c r="B110" s="0" t="inlineStr">
        <is>
          <t>10年国债ETF</t>
        </is>
      </c>
      <c r="C110" s="0" t="inlineStr">
        <is>
          <t>511260</t>
        </is>
      </c>
      <c r="H110" s="0" t="n">
        <v>136.14</v>
      </c>
      <c r="I110" s="0" t="n">
        <v>1831.5</v>
      </c>
      <c r="J110" s="0" t="n">
        <v>0.0036</v>
      </c>
      <c r="N110" s="0" t="inlineStr">
        <is>
          <t>—</t>
        </is>
      </c>
    </row>
    <row r="111">
      <c r="A111" s="0" t="inlineStr">
        <is>
          <t>20260602</t>
        </is>
      </c>
      <c r="B111" s="0" t="inlineStr">
        <is>
          <t>5年国债ETF</t>
        </is>
      </c>
      <c r="C111" s="0" t="inlineStr">
        <is>
          <t>511010</t>
        </is>
      </c>
      <c r="H111" s="0" t="n">
        <v>141.48</v>
      </c>
      <c r="I111" s="0" t="n">
        <v>937.65</v>
      </c>
      <c r="J111" s="0" t="n">
        <v>0.0019</v>
      </c>
      <c r="N111" s="0" t="inlineStr">
        <is>
          <t>—</t>
        </is>
      </c>
    </row>
    <row r="112">
      <c r="A112" s="0" t="inlineStr">
        <is>
          <t>20260602</t>
        </is>
      </c>
      <c r="B112" s="0" t="inlineStr">
        <is>
          <t>短融ETF</t>
        </is>
      </c>
      <c r="C112" s="0" t="inlineStr">
        <is>
          <t>511360</t>
        </is>
      </c>
      <c r="H112" s="0" t="n">
        <v>113.526</v>
      </c>
      <c r="I112" s="0" t="n">
        <v>140.8</v>
      </c>
      <c r="J112" s="0" t="n">
        <v>0.0005999999999999999</v>
      </c>
      <c r="N112" s="0" t="inlineStr">
        <is>
          <t>—</t>
        </is>
      </c>
    </row>
    <row r="113">
      <c r="A113" s="0" t="inlineStr">
        <is>
          <t>20260602</t>
        </is>
      </c>
      <c r="B113" s="0" t="inlineStr">
        <is>
          <t>黄金ETF</t>
        </is>
      </c>
      <c r="C113" s="0" t="inlineStr">
        <is>
          <t>518880</t>
        </is>
      </c>
      <c r="H113" s="0" t="n">
        <v>9.41</v>
      </c>
      <c r="I113" s="0" t="n">
        <v>533.3200000000001</v>
      </c>
      <c r="J113" s="0" t="n">
        <v>0.0014</v>
      </c>
      <c r="N113" s="0" t="inlineStr">
        <is>
          <t>⚠️权重触发线偏离-7.5%</t>
        </is>
      </c>
    </row>
    <row r="114">
      <c r="A114" s="0" t="inlineStr">
        <is>
          <t>20260602</t>
        </is>
      </c>
      <c r="B114" s="0" t="inlineStr">
        <is>
          <t>银华日利ETF</t>
        </is>
      </c>
      <c r="C114" s="0" t="inlineStr">
        <is>
          <t>511880</t>
        </is>
      </c>
      <c r="H114" s="0" t="n">
        <v>100.488</v>
      </c>
      <c r="I114" s="0" t="n">
        <v>0</v>
      </c>
      <c r="N114" s="0" t="inlineStr">
        <is>
          <t>—</t>
        </is>
      </c>
    </row>
    <row r="115">
      <c r="A115" s="0" t="inlineStr">
        <is>
          <t>20260602</t>
        </is>
      </c>
      <c r="B115" s="0" t="inlineStr">
        <is>
          <t>华宝添益ETF</t>
        </is>
      </c>
      <c r="C115" s="0" t="inlineStr">
        <is>
          <t>511990</t>
        </is>
      </c>
      <c r="H115" s="0" t="n">
        <v>99.999</v>
      </c>
      <c r="I115" s="0" t="n">
        <v>5</v>
      </c>
      <c r="J115" s="0" t="n">
        <v>0</v>
      </c>
      <c r="N115" s="0" t="inlineStr">
        <is>
          <t>—</t>
        </is>
      </c>
    </row>
    <row r="116">
      <c r="A116" s="0" t="inlineStr">
        <is>
          <t>20260603</t>
        </is>
      </c>
      <c r="B116" s="0" t="inlineStr">
        <is>
          <t>沪深300ETF</t>
        </is>
      </c>
      <c r="C116" s="0" t="inlineStr">
        <is>
          <t>510300</t>
        </is>
      </c>
      <c r="H116" s="0" t="n">
        <v>4.965</v>
      </c>
      <c r="I116" s="0" t="n">
        <v>5610</v>
      </c>
      <c r="J116" s="0" t="n">
        <v>0.0104</v>
      </c>
      <c r="N116" s="0" t="inlineStr">
        <is>
          <t>—</t>
        </is>
      </c>
    </row>
    <row r="117">
      <c r="A117" s="0" t="inlineStr">
        <is>
          <t>20260603</t>
        </is>
      </c>
      <c r="B117" s="0" t="inlineStr">
        <is>
          <t>中证500ETF</t>
        </is>
      </c>
      <c r="C117" s="0" t="inlineStr">
        <is>
          <t>510500</t>
        </is>
      </c>
      <c r="H117" s="0" t="n">
        <v>8.455</v>
      </c>
      <c r="I117" s="0" t="n">
        <v>-4820</v>
      </c>
      <c r="J117" s="0" t="n">
        <v>-0.0277</v>
      </c>
      <c r="N117" s="0" t="inlineStr">
        <is>
          <t>📊权重预警偏离-4.7%</t>
        </is>
      </c>
    </row>
    <row r="118">
      <c r="A118" s="0" t="inlineStr">
        <is>
          <t>20260603</t>
        </is>
      </c>
      <c r="B118" s="0" t="inlineStr">
        <is>
          <t>科创50ETF</t>
        </is>
      </c>
      <c r="C118" s="0" t="inlineStr">
        <is>
          <t>588050</t>
        </is>
      </c>
      <c r="H118" s="0" t="n">
        <v>1.772</v>
      </c>
      <c r="I118" s="0" t="n">
        <v>-3960</v>
      </c>
      <c r="J118" s="0" t="n">
        <v>-0.0359</v>
      </c>
      <c r="N118" s="0" t="inlineStr">
        <is>
          <t>—</t>
        </is>
      </c>
    </row>
    <row r="119">
      <c r="A119" s="0" t="inlineStr">
        <is>
          <t>20260603</t>
        </is>
      </c>
      <c r="B119" s="0" t="inlineStr">
        <is>
          <t>创业板ETF</t>
        </is>
      </c>
      <c r="C119" s="0" t="inlineStr">
        <is>
          <t>159915</t>
        </is>
      </c>
      <c r="H119" s="0" t="n">
        <v>4.145</v>
      </c>
      <c r="I119" s="0" t="n">
        <v>11151</v>
      </c>
      <c r="J119" s="0" t="n">
        <v>0.0446</v>
      </c>
      <c r="N119" s="0" t="inlineStr">
        <is>
          <t>📊权重预警偏离+3.1%</t>
        </is>
      </c>
    </row>
    <row r="120">
      <c r="A120" s="0" t="inlineStr">
        <is>
          <t>20260603</t>
        </is>
      </c>
      <c r="B120" s="0" t="inlineStr">
        <is>
          <t>红利低波ETF</t>
        </is>
      </c>
      <c r="C120" s="0" t="inlineStr">
        <is>
          <t>512890</t>
        </is>
      </c>
      <c r="H120" s="0" t="n">
        <v>1.173</v>
      </c>
      <c r="I120" s="0" t="n">
        <v>5014</v>
      </c>
      <c r="J120" s="0" t="n">
        <v>0.02</v>
      </c>
      <c r="N120" s="0" t="inlineStr">
        <is>
          <t>—</t>
        </is>
      </c>
    </row>
    <row r="121">
      <c r="A121" s="0" t="inlineStr">
        <is>
          <t>20260603</t>
        </is>
      </c>
      <c r="B121" s="0" t="inlineStr">
        <is>
          <t>可转债ETF</t>
        </is>
      </c>
      <c r="C121" s="0" t="inlineStr">
        <is>
          <t>511380</t>
        </is>
      </c>
      <c r="H121" s="0" t="n">
        <v>14.083</v>
      </c>
      <c r="I121" s="0" t="n">
        <v>0</v>
      </c>
      <c r="J121" s="0" t="n">
        <v>0</v>
      </c>
      <c r="N121" s="0" t="inlineStr">
        <is>
          <t>🔴再平衡紧急线：偏离-10.0% &gt;= ±10%</t>
        </is>
      </c>
    </row>
    <row r="122">
      <c r="A122" s="0" t="inlineStr">
        <is>
          <t>20260603</t>
        </is>
      </c>
      <c r="B122" s="0" t="inlineStr">
        <is>
          <t>10年国债ETF</t>
        </is>
      </c>
      <c r="C122" s="0" t="inlineStr">
        <is>
          <t>511260</t>
        </is>
      </c>
      <c r="H122" s="0" t="n">
        <v>136.078</v>
      </c>
      <c r="I122" s="0" t="n">
        <v>1602.1</v>
      </c>
      <c r="J122" s="0" t="n">
        <v>0.0032</v>
      </c>
      <c r="N122" s="0" t="inlineStr">
        <is>
          <t>📊权重预警偏离+5.7%</t>
        </is>
      </c>
    </row>
    <row r="123">
      <c r="A123" s="0" t="inlineStr">
        <is>
          <t>20260603</t>
        </is>
      </c>
      <c r="B123" s="0" t="inlineStr">
        <is>
          <t>5年国债ETF</t>
        </is>
      </c>
      <c r="C123" s="0" t="inlineStr">
        <is>
          <t>511010</t>
        </is>
      </c>
      <c r="H123" s="0" t="n">
        <v>141.464</v>
      </c>
      <c r="I123" s="0" t="n">
        <v>881.65</v>
      </c>
      <c r="J123" s="0" t="n">
        <v>0.0018</v>
      </c>
      <c r="N123" s="0" t="inlineStr">
        <is>
          <t>📊权重预警偏离+5.4%</t>
        </is>
      </c>
    </row>
    <row r="124">
      <c r="A124" s="0" t="inlineStr">
        <is>
          <t>20260603</t>
        </is>
      </c>
      <c r="B124" s="0" t="inlineStr">
        <is>
          <t>短融ETF</t>
        </is>
      </c>
      <c r="C124" s="0" t="inlineStr">
        <is>
          <t>511360</t>
        </is>
      </c>
      <c r="H124" s="0" t="n">
        <v>113.528</v>
      </c>
      <c r="I124" s="0" t="n">
        <v>145.2</v>
      </c>
      <c r="J124" s="0" t="n">
        <v>0.0005999999999999999</v>
      </c>
      <c r="N124" s="0" t="inlineStr">
        <is>
          <t>—</t>
        </is>
      </c>
    </row>
    <row r="125">
      <c r="A125" s="0" t="inlineStr">
        <is>
          <t>20260603</t>
        </is>
      </c>
      <c r="B125" s="0" t="inlineStr">
        <is>
          <t>黄金ETF</t>
        </is>
      </c>
      <c r="C125" s="0" t="inlineStr">
        <is>
          <t>518880</t>
        </is>
      </c>
      <c r="H125" s="0" t="n">
        <v>9.281000000000001</v>
      </c>
      <c r="I125" s="0" t="n">
        <v>-4600.88</v>
      </c>
      <c r="J125" s="0" t="n">
        <v>-0.0123</v>
      </c>
      <c r="N125" s="0" t="inlineStr">
        <is>
          <t>📊权重预警偏离-3.5%</t>
        </is>
      </c>
    </row>
    <row r="126">
      <c r="A126" s="0" t="inlineStr">
        <is>
          <t>20260603</t>
        </is>
      </c>
      <c r="B126" s="0" t="inlineStr">
        <is>
          <t>银华日利ETF</t>
        </is>
      </c>
      <c r="C126" s="0" t="inlineStr">
        <is>
          <t>511880</t>
        </is>
      </c>
      <c r="H126" s="0" t="n">
        <v>100.501</v>
      </c>
      <c r="I126" s="0" t="n">
        <v>0</v>
      </c>
      <c r="J126" s="0" t="n">
        <v>0</v>
      </c>
      <c r="N126" s="0" t="inlineStr">
        <is>
          <t>📊权重预警偏离-5.0%</t>
        </is>
      </c>
    </row>
    <row r="127">
      <c r="A127" s="0" t="inlineStr">
        <is>
          <t>20260603</t>
        </is>
      </c>
      <c r="B127" s="0" t="inlineStr">
        <is>
          <t>华宝添益ETF</t>
        </is>
      </c>
      <c r="C127" s="0" t="inlineStr">
        <is>
          <t>511990</t>
        </is>
      </c>
      <c r="H127" s="0" t="n">
        <v>100</v>
      </c>
      <c r="I127" s="0" t="n">
        <v>7.5</v>
      </c>
      <c r="J127" s="0" t="n">
        <v>0</v>
      </c>
      <c r="N127" s="0" t="inlineStr">
        <is>
          <t>—</t>
        </is>
      </c>
    </row>
    <row r="128">
      <c r="A128" s="0" t="inlineStr">
        <is>
          <t>20260604</t>
        </is>
      </c>
      <c r="B128" s="0" t="inlineStr">
        <is>
          <t>沪深300ETF</t>
        </is>
      </c>
      <c r="C128" s="0" t="inlineStr">
        <is>
          <t>510300</t>
        </is>
      </c>
      <c r="H128" s="0" t="n">
        <v>4.926</v>
      </c>
      <c r="I128" s="0" t="n">
        <v>1320</v>
      </c>
      <c r="J128" s="0" t="n">
        <v>0.0024</v>
      </c>
      <c r="N128" s="0" t="inlineStr">
        <is>
          <t>-</t>
        </is>
      </c>
    </row>
    <row r="129">
      <c r="A129" s="0" t="inlineStr">
        <is>
          <t>20260604</t>
        </is>
      </c>
      <c r="B129" s="0" t="inlineStr">
        <is>
          <t>中证500ETF</t>
        </is>
      </c>
      <c r="C129" s="0" t="inlineStr">
        <is>
          <t>510500</t>
        </is>
      </c>
      <c r="H129" s="0" t="n">
        <v>8.448</v>
      </c>
      <c r="I129" s="0" t="n">
        <v>-4960</v>
      </c>
      <c r="J129" s="0" t="n">
        <v>-0.0285</v>
      </c>
      <c r="N129" s="0" t="inlineStr">
        <is>
          <t>权重预警偏离-4.7%</t>
        </is>
      </c>
    </row>
    <row r="130">
      <c r="A130" s="0" t="inlineStr">
        <is>
          <t>20260604</t>
        </is>
      </c>
      <c r="B130" s="0" t="inlineStr">
        <is>
          <t>科创50ETF</t>
        </is>
      </c>
      <c r="C130" s="0" t="inlineStr">
        <is>
          <t>588050</t>
        </is>
      </c>
      <c r="H130" s="0" t="n">
        <v>1.783</v>
      </c>
      <c r="I130" s="0" t="n">
        <v>-3300</v>
      </c>
      <c r="J130" s="0" t="n">
        <v>-0.0299</v>
      </c>
      <c r="N130" s="0" t="inlineStr">
        <is>
          <t>-</t>
        </is>
      </c>
    </row>
    <row r="131">
      <c r="A131" s="0" t="inlineStr">
        <is>
          <t>20260604</t>
        </is>
      </c>
      <c r="B131" s="0" t="inlineStr">
        <is>
          <t>创业板ETF</t>
        </is>
      </c>
      <c r="C131" s="0" t="inlineStr">
        <is>
          <t>159915</t>
        </is>
      </c>
      <c r="H131" s="0" t="n">
        <v>4.1</v>
      </c>
      <c r="I131" s="0" t="n">
        <v>8316</v>
      </c>
      <c r="J131" s="0" t="n">
        <v>0.0333</v>
      </c>
      <c r="N131" s="0" t="inlineStr">
        <is>
          <t>权重预警偏离+3.1%</t>
        </is>
      </c>
    </row>
    <row r="132">
      <c r="A132" s="0" t="inlineStr">
        <is>
          <t>20260604</t>
        </is>
      </c>
      <c r="B132" s="0" t="inlineStr">
        <is>
          <t>红利低波ETF</t>
        </is>
      </c>
      <c r="C132" s="0" t="inlineStr">
        <is>
          <t>512890</t>
        </is>
      </c>
      <c r="H132" s="0" t="n">
        <v>1.158</v>
      </c>
      <c r="I132" s="0" t="n">
        <v>1744</v>
      </c>
      <c r="J132" s="0" t="n">
        <v>0.007</v>
      </c>
      <c r="N132" s="0" t="inlineStr">
        <is>
          <t>-</t>
        </is>
      </c>
    </row>
    <row r="133">
      <c r="A133" s="0" t="inlineStr">
        <is>
          <t>20260604</t>
        </is>
      </c>
      <c r="B133" s="0" t="inlineStr">
        <is>
          <t>可转债ETF</t>
        </is>
      </c>
      <c r="C133" s="0" t="inlineStr">
        <is>
          <t>511380</t>
        </is>
      </c>
      <c r="H133" s="0" t="n">
        <v>13.999</v>
      </c>
      <c r="I133" s="0" t="n">
        <v>0</v>
      </c>
      <c r="J133" s="0" t="n">
        <v>0</v>
      </c>
      <c r="N133" s="0" t="inlineStr">
        <is>
          <t>再平衡紧急:偏离&gt;=+-10%</t>
        </is>
      </c>
    </row>
    <row r="134">
      <c r="A134" s="0" t="inlineStr">
        <is>
          <t>20260604</t>
        </is>
      </c>
      <c r="B134" s="0" t="inlineStr">
        <is>
          <t>10年国债ETF</t>
        </is>
      </c>
      <c r="C134" s="0" t="inlineStr">
        <is>
          <t>511260</t>
        </is>
      </c>
      <c r="H134" s="0" t="n">
        <v>136.133</v>
      </c>
      <c r="I134" s="0" t="n">
        <v>1805.6</v>
      </c>
      <c r="J134" s="0" t="n">
        <v>0.0036</v>
      </c>
      <c r="N134" s="0" t="inlineStr">
        <is>
          <t>权重预警偏离+5.8%</t>
        </is>
      </c>
    </row>
    <row r="135">
      <c r="A135" s="0" t="inlineStr">
        <is>
          <t>20260604</t>
        </is>
      </c>
      <c r="B135" s="0" t="inlineStr">
        <is>
          <t>5年国债ETF</t>
        </is>
      </c>
      <c r="C135" s="0" t="inlineStr">
        <is>
          <t>511010</t>
        </is>
      </c>
      <c r="H135" s="0" t="n">
        <v>141.504</v>
      </c>
      <c r="I135" s="0" t="n">
        <v>1021.65</v>
      </c>
      <c r="J135" s="0" t="n">
        <v>0.0021</v>
      </c>
      <c r="N135" s="0" t="inlineStr">
        <is>
          <t>权重预警偏离+5.5%</t>
        </is>
      </c>
    </row>
    <row r="136">
      <c r="A136" s="0" t="inlineStr">
        <is>
          <t>20260604</t>
        </is>
      </c>
      <c r="B136" s="0" t="inlineStr">
        <is>
          <t>短融ETF</t>
        </is>
      </c>
      <c r="C136" s="0" t="inlineStr">
        <is>
          <t>511360</t>
        </is>
      </c>
      <c r="H136" s="0" t="n">
        <v>113.535</v>
      </c>
      <c r="I136" s="0" t="n">
        <v>160.6</v>
      </c>
      <c r="J136" s="0" t="n">
        <v>0.0005999999999999999</v>
      </c>
      <c r="N136" s="0" t="inlineStr">
        <is>
          <t>-</t>
        </is>
      </c>
    </row>
    <row r="137">
      <c r="A137" s="0" t="inlineStr">
        <is>
          <t>20260604</t>
        </is>
      </c>
      <c r="B137" s="0" t="inlineStr">
        <is>
          <t>黄金ETF</t>
        </is>
      </c>
      <c r="C137" s="0" t="inlineStr">
        <is>
          <t>518880</t>
        </is>
      </c>
      <c r="H137" s="0" t="n">
        <v>9.289999999999999</v>
      </c>
      <c r="I137" s="0" t="n">
        <v>-4242.68</v>
      </c>
      <c r="J137" s="0" t="n">
        <v>-0.0113</v>
      </c>
      <c r="N137" s="0" t="inlineStr">
        <is>
          <t>权重预警偏离-3.4%</t>
        </is>
      </c>
    </row>
    <row r="138">
      <c r="A138" s="0" t="inlineStr">
        <is>
          <t>20260604</t>
        </is>
      </c>
      <c r="B138" s="0" t="inlineStr">
        <is>
          <t>银华日利ETF</t>
        </is>
      </c>
      <c r="C138" s="0" t="inlineStr">
        <is>
          <t>511880</t>
        </is>
      </c>
      <c r="H138" s="0" t="n">
        <v>100.512</v>
      </c>
      <c r="I138" s="0" t="n">
        <v>0</v>
      </c>
      <c r="J138" s="0" t="n">
        <v>0</v>
      </c>
      <c r="N138" s="0" t="inlineStr">
        <is>
          <t>权重预警偏离-5.0%</t>
        </is>
      </c>
    </row>
    <row r="139">
      <c r="A139" s="0" t="inlineStr">
        <is>
          <t>20260604</t>
        </is>
      </c>
      <c r="B139" s="0" t="inlineStr">
        <is>
          <t>华宝添益ETF</t>
        </is>
      </c>
      <c r="C139" s="0" t="inlineStr">
        <is>
          <t>511990</t>
        </is>
      </c>
      <c r="H139" s="0" t="n">
        <v>100.001</v>
      </c>
      <c r="I139" s="0" t="n">
        <v>10</v>
      </c>
      <c r="J139" s="0" t="n">
        <v>0</v>
      </c>
      <c r="N139" s="0" t="inlineStr">
        <is>
          <t>-</t>
        </is>
      </c>
    </row>
    <row r="140">
      <c r="A140" s="0" t="inlineStr">
        <is>
          <t>20260609</t>
        </is>
      </c>
      <c r="B140" s="0" t="inlineStr">
        <is>
          <t>沪深300ETF</t>
        </is>
      </c>
      <c r="C140" s="0" t="inlineStr">
        <is>
          <t>510300</t>
        </is>
      </c>
      <c r="H140" s="0" t="n">
        <v>4.826</v>
      </c>
      <c r="I140" s="0" t="n">
        <v>-9074.200000000001</v>
      </c>
      <c r="J140" s="0" t="n">
        <v>-0.0121</v>
      </c>
      <c r="N140" s="0" t="inlineStr">
        <is>
          <t>🟠再平衡触发线：偏离+7.6% &gt;= ±7%，强制调仓</t>
        </is>
      </c>
    </row>
    <row r="141">
      <c r="A141" s="0" t="inlineStr">
        <is>
          <t>20260609</t>
        </is>
      </c>
      <c r="B141" s="0" t="inlineStr">
        <is>
          <t>中证500ETF</t>
        </is>
      </c>
      <c r="C141" s="0" t="inlineStr">
        <is>
          <t>510500</t>
        </is>
      </c>
      <c r="H141" s="0" t="n">
        <v>8.27</v>
      </c>
      <c r="I141" s="0" t="n">
        <v>-8520</v>
      </c>
      <c r="J141" s="0" t="n">
        <v>-0.049</v>
      </c>
      <c r="N141" s="0" t="inlineStr">
        <is>
          <t>📊权重预警偏离-5.0%</t>
        </is>
      </c>
    </row>
    <row r="142">
      <c r="A142" s="0" t="inlineStr">
        <is>
          <t>20260609</t>
        </is>
      </c>
      <c r="B142" s="0" t="inlineStr">
        <is>
          <t>科创50ETF</t>
        </is>
      </c>
      <c r="C142" s="0" t="inlineStr">
        <is>
          <t>588050</t>
        </is>
      </c>
      <c r="H142" s="0" t="n">
        <v>1.706</v>
      </c>
      <c r="I142" s="0" t="n">
        <v>-7920</v>
      </c>
      <c r="J142" s="0" t="n">
        <v>-0.0718</v>
      </c>
      <c r="N142" s="0" t="inlineStr">
        <is>
          <t>⚡预警：浮亏-7.2% &gt;= -5%，暂停新增买入</t>
        </is>
      </c>
    </row>
    <row r="143">
      <c r="A143" s="0" t="inlineStr">
        <is>
          <t>20260609</t>
        </is>
      </c>
      <c r="B143" s="0" t="inlineStr">
        <is>
          <t>创业板ETF</t>
        </is>
      </c>
      <c r="C143" s="0" t="inlineStr">
        <is>
          <t>159915</t>
        </is>
      </c>
      <c r="H143" s="0" t="n">
        <v>3.972</v>
      </c>
      <c r="I143" s="0" t="n">
        <v>252</v>
      </c>
      <c r="J143" s="0" t="n">
        <v>0.001</v>
      </c>
      <c r="N143" s="0" t="inlineStr">
        <is>
          <t>—</t>
        </is>
      </c>
    </row>
    <row r="144">
      <c r="A144" s="0" t="inlineStr">
        <is>
          <t>20260609</t>
        </is>
      </c>
      <c r="B144" s="0" t="inlineStr">
        <is>
          <t>红利低波ETF</t>
        </is>
      </c>
      <c r="C144" s="0" t="inlineStr">
        <is>
          <t>512890</t>
        </is>
      </c>
      <c r="H144" s="0" t="n">
        <v>1.164</v>
      </c>
      <c r="I144" s="0" t="n">
        <v>3052</v>
      </c>
      <c r="J144" s="0" t="n">
        <v>0.0122</v>
      </c>
      <c r="N144" s="0" t="inlineStr">
        <is>
          <t>—</t>
        </is>
      </c>
    </row>
    <row r="145">
      <c r="A145" s="0" t="inlineStr">
        <is>
          <t>20260609</t>
        </is>
      </c>
      <c r="B145" s="0" t="inlineStr">
        <is>
          <t>可转债ETF</t>
        </is>
      </c>
      <c r="C145" s="0" t="inlineStr">
        <is>
          <t>511380</t>
        </is>
      </c>
      <c r="H145" s="0" t="n">
        <v>13.927</v>
      </c>
      <c r="I145" s="0" t="n">
        <v>-165.6</v>
      </c>
      <c r="J145" s="0" t="n">
        <v>-0.0016</v>
      </c>
      <c r="N145" s="0" t="inlineStr">
        <is>
          <t>📊权重预警偏离-7.0%</t>
        </is>
      </c>
    </row>
    <row r="146">
      <c r="A146" s="0" t="inlineStr">
        <is>
          <t>20260609</t>
        </is>
      </c>
      <c r="B146" s="0" t="inlineStr">
        <is>
          <t>10年国债ETF</t>
        </is>
      </c>
      <c r="C146" s="0" t="inlineStr">
        <is>
          <t>511260</t>
        </is>
      </c>
      <c r="H146" s="0" t="n">
        <v>135.75</v>
      </c>
      <c r="I146" s="0" t="n">
        <v>388.5</v>
      </c>
      <c r="J146" s="0" t="n">
        <v>0.0008</v>
      </c>
      <c r="N146" s="0" t="inlineStr">
        <is>
          <t>📊权重预警偏离+5.3%</t>
        </is>
      </c>
    </row>
    <row r="147">
      <c r="A147" s="0" t="inlineStr">
        <is>
          <t>20260609</t>
        </is>
      </c>
      <c r="B147" s="0" t="inlineStr">
        <is>
          <t>5年国债ETF</t>
        </is>
      </c>
      <c r="C147" s="0" t="inlineStr">
        <is>
          <t>511010</t>
        </is>
      </c>
      <c r="H147" s="0" t="n">
        <v>141.345</v>
      </c>
      <c r="I147" s="0" t="n">
        <v>465.15</v>
      </c>
      <c r="J147" s="0" t="n">
        <v>0.0009</v>
      </c>
      <c r="N147" s="0" t="inlineStr">
        <is>
          <t>📊权重预警偏离+5.0%</t>
        </is>
      </c>
    </row>
    <row r="148">
      <c r="A148" s="0" t="inlineStr">
        <is>
          <t>20260609</t>
        </is>
      </c>
      <c r="B148" s="0" t="inlineStr">
        <is>
          <t>短融ETF</t>
        </is>
      </c>
      <c r="C148" s="0" t="inlineStr">
        <is>
          <t>511360</t>
        </is>
      </c>
      <c r="H148" s="0" t="n">
        <v>113.559</v>
      </c>
      <c r="I148" s="0" t="n">
        <v>213.4</v>
      </c>
      <c r="J148" s="0" t="n">
        <v>0.0009</v>
      </c>
      <c r="N148" s="0" t="inlineStr">
        <is>
          <t>—</t>
        </is>
      </c>
    </row>
    <row r="149">
      <c r="A149" s="0" t="inlineStr">
        <is>
          <t>20260609</t>
        </is>
      </c>
      <c r="B149" s="0" t="inlineStr">
        <is>
          <t>黄金ETF</t>
        </is>
      </c>
      <c r="C149" s="0" t="inlineStr">
        <is>
          <t>518880</t>
        </is>
      </c>
      <c r="H149" s="0" t="n">
        <v>9.005000000000001</v>
      </c>
      <c r="I149" s="0" t="n">
        <v>-15544.56</v>
      </c>
      <c r="J149" s="0" t="n">
        <v>-0.0349</v>
      </c>
      <c r="N149" s="0" t="inlineStr">
        <is>
          <t>—</t>
        </is>
      </c>
    </row>
    <row r="150">
      <c r="A150" s="0" t="inlineStr">
        <is>
          <t>20260609</t>
        </is>
      </c>
      <c r="B150" s="0" t="inlineStr">
        <is>
          <t>银华日利ETF</t>
        </is>
      </c>
      <c r="C150" s="0" t="inlineStr">
        <is>
          <t>511880</t>
        </is>
      </c>
      <c r="H150" s="0" t="n">
        <v>100.514</v>
      </c>
      <c r="I150" s="0" t="n">
        <v>0</v>
      </c>
      <c r="J150" s="0" t="n">
        <v>0</v>
      </c>
      <c r="N150" s="0" t="inlineStr">
        <is>
          <t>📊权重预警偏离-5.0%</t>
        </is>
      </c>
    </row>
    <row r="151">
      <c r="A151" s="0" t="inlineStr">
        <is>
          <t>20260609</t>
        </is>
      </c>
      <c r="B151" s="0" t="inlineStr">
        <is>
          <t>华宝添益ETF</t>
        </is>
      </c>
      <c r="C151" s="0" t="inlineStr">
        <is>
          <t>511990</t>
        </is>
      </c>
      <c r="H151" s="0" t="n">
        <v>100.003</v>
      </c>
      <c r="I151" s="0" t="n">
        <v>0</v>
      </c>
      <c r="J151" s="0" t="n">
        <v>0</v>
      </c>
      <c r="N151" s="0" t="inlineStr">
        <is>
          <t>📊权重预警偏离-5.0%</t>
        </is>
      </c>
    </row>
    <row r="152">
      <c r="A152" s="0" t="inlineStr">
        <is>
          <t>20260610</t>
        </is>
      </c>
      <c r="B152" s="0" t="inlineStr">
        <is>
          <t>华泰柏瑞沪深300ETF</t>
        </is>
      </c>
      <c r="C152" s="0" t="inlineStr">
        <is>
          <t>510300</t>
        </is>
      </c>
      <c r="D152" s="0" t="n">
        <v>153800</v>
      </c>
      <c r="E152" s="0" t="n">
        <v>4.885</v>
      </c>
      <c r="F152" s="0" t="n">
        <v>751313</v>
      </c>
      <c r="G152" s="0" t="n">
        <v>4.784</v>
      </c>
      <c r="H152" s="0" t="inlineStr">
        <is>
          <t>-0.87%</t>
        </is>
      </c>
      <c r="I152" s="0" t="n">
        <v>735779.2</v>
      </c>
      <c r="J152" s="0" t="n">
        <v>-15533.8</v>
      </c>
      <c r="K152" s="0" t="n">
        <v>-0.0207</v>
      </c>
      <c r="L152" s="0" t="n">
        <v>0.15</v>
      </c>
      <c r="M152" s="0" t="n">
        <v>0.2124</v>
      </c>
      <c r="N152" s="0" t="n">
        <v>0.0624</v>
      </c>
      <c r="O152" s="0" t="inlineStr">
        <is>
          <t>📊权重预警偏离+6.2%</t>
        </is>
      </c>
    </row>
    <row r="153">
      <c r="A153" s="0" t="inlineStr">
        <is>
          <t>20260610</t>
        </is>
      </c>
      <c r="B153" s="0" t="inlineStr">
        <is>
          <t>南方中证500ETF</t>
        </is>
      </c>
      <c r="C153" s="0" t="inlineStr">
        <is>
          <t>510500</t>
        </is>
      </c>
      <c r="D153" s="0" t="n">
        <v>20000</v>
      </c>
      <c r="E153" s="0" t="n">
        <v>8.696</v>
      </c>
      <c r="F153" s="0" t="n">
        <v>173920</v>
      </c>
      <c r="G153" s="0" t="n">
        <v>8.170999999999999</v>
      </c>
      <c r="H153" s="0" t="inlineStr">
        <is>
          <t>-1.20%</t>
        </is>
      </c>
      <c r="I153" s="0" t="n">
        <v>163420</v>
      </c>
      <c r="J153" s="0" t="n">
        <v>-10500</v>
      </c>
      <c r="K153" s="0" t="n">
        <v>-0.0604</v>
      </c>
      <c r="L153" s="0" t="n">
        <v>0.1</v>
      </c>
      <c r="M153" s="0" t="n">
        <v>0.0472</v>
      </c>
      <c r="N153" s="0" t="n">
        <v>-0.0528</v>
      </c>
      <c r="O153" s="0" t="inlineStr">
        <is>
          <t>📊权重预警偏离-5.3%</t>
        </is>
      </c>
    </row>
    <row r="154">
      <c r="A154" s="0" t="inlineStr">
        <is>
          <t>20260610</t>
        </is>
      </c>
      <c r="B154" s="0" t="inlineStr">
        <is>
          <t>科创50ETF</t>
        </is>
      </c>
      <c r="C154" s="0" t="inlineStr">
        <is>
          <t>588050</t>
        </is>
      </c>
      <c r="D154" s="0" t="n">
        <v>60000</v>
      </c>
      <c r="E154" s="0" t="n">
        <v>1.838</v>
      </c>
      <c r="F154" s="0" t="n">
        <v>110280</v>
      </c>
      <c r="G154" s="0" t="n">
        <v>1.699</v>
      </c>
      <c r="H154" s="0" t="inlineStr">
        <is>
          <t>-0.41%</t>
        </is>
      </c>
      <c r="I154" s="0" t="n">
        <v>101940</v>
      </c>
      <c r="J154" s="0" t="n">
        <v>-8340</v>
      </c>
      <c r="K154" s="0" t="n">
        <v>-0.0756</v>
      </c>
      <c r="L154" s="0" t="n">
        <v>0.05</v>
      </c>
      <c r="M154" s="0" t="n">
        <v>0.0294</v>
      </c>
      <c r="N154" s="0" t="n">
        <v>-0.0206</v>
      </c>
      <c r="O154" s="0" t="inlineStr">
        <is>
          <t>⚡预警：浮亏-7.6% &gt;= -5%，暂停新增买入</t>
        </is>
      </c>
    </row>
    <row r="155">
      <c r="A155" s="0" t="inlineStr">
        <is>
          <t>20260610</t>
        </is>
      </c>
      <c r="B155" s="0" t="inlineStr">
        <is>
          <t>易方达创业板ETF</t>
        </is>
      </c>
      <c r="C155" s="0" t="inlineStr">
        <is>
          <t>159915</t>
        </is>
      </c>
      <c r="D155" s="0" t="n">
        <v>63000</v>
      </c>
      <c r="E155" s="0" t="n">
        <v>3.968</v>
      </c>
      <c r="F155" s="0" t="n">
        <v>249984</v>
      </c>
      <c r="G155" s="0" t="n">
        <v>3.87</v>
      </c>
      <c r="H155" s="0" t="inlineStr">
        <is>
          <t>-2.57%</t>
        </is>
      </c>
      <c r="I155" s="0" t="n">
        <v>243810</v>
      </c>
      <c r="J155" s="0" t="n">
        <v>-6174</v>
      </c>
      <c r="K155" s="0" t="n">
        <v>-0.0247</v>
      </c>
      <c r="L155" s="0" t="n">
        <v>0.05</v>
      </c>
      <c r="M155" s="0" t="n">
        <v>0.0704</v>
      </c>
      <c r="N155" s="0" t="n">
        <v>0.0204</v>
      </c>
      <c r="O155" s="0" t="inlineStr">
        <is>
          <t>—</t>
        </is>
      </c>
    </row>
    <row r="156">
      <c r="A156" s="0" t="inlineStr">
        <is>
          <t>20260610</t>
        </is>
      </c>
      <c r="B156" s="0" t="inlineStr">
        <is>
          <t>华泰柏瑞红利低波ETF</t>
        </is>
      </c>
      <c r="C156" s="0" t="inlineStr">
        <is>
          <t>512890</t>
        </is>
      </c>
      <c r="D156" s="0" t="n">
        <v>218000</v>
      </c>
      <c r="E156" s="0" t="n">
        <v>1.15</v>
      </c>
      <c r="F156" s="0" t="n">
        <v>250700</v>
      </c>
      <c r="G156" s="0" t="n">
        <v>1.172</v>
      </c>
      <c r="H156" s="0" t="inlineStr">
        <is>
          <t>+0.69%</t>
        </is>
      </c>
      <c r="I156" s="0" t="n">
        <v>255496</v>
      </c>
      <c r="J156" s="0" t="n">
        <v>4796</v>
      </c>
      <c r="K156" s="0" t="n">
        <v>0.0191</v>
      </c>
      <c r="L156" s="0" t="n">
        <v>0.05</v>
      </c>
      <c r="M156" s="0" t="n">
        <v>0.0737</v>
      </c>
      <c r="N156" s="0" t="n">
        <v>0.0237</v>
      </c>
      <c r="O156" s="0" t="inlineStr">
        <is>
          <t>—</t>
        </is>
      </c>
    </row>
    <row r="157">
      <c r="A157" s="0" t="inlineStr">
        <is>
          <t>20260610</t>
        </is>
      </c>
      <c r="B157" s="0" t="inlineStr">
        <is>
          <t>可转债ETF</t>
        </is>
      </c>
      <c r="C157" s="0" t="inlineStr">
        <is>
          <t>511380</t>
        </is>
      </c>
      <c r="D157" s="0" t="n">
        <v>14500</v>
      </c>
      <c r="E157" s="0" t="n">
        <v>13.8644</v>
      </c>
      <c r="F157" s="0" t="n">
        <v>201034</v>
      </c>
      <c r="G157" s="0" t="n">
        <v>13.77</v>
      </c>
      <c r="H157" s="0" t="inlineStr">
        <is>
          <t>-1.13%</t>
        </is>
      </c>
      <c r="I157" s="0" t="n">
        <v>199665</v>
      </c>
      <c r="J157" s="0" t="n">
        <v>-1368.8</v>
      </c>
      <c r="K157" s="0" t="n">
        <v>-0.0068</v>
      </c>
      <c r="L157" s="0" t="n">
        <v>0.1</v>
      </c>
      <c r="M157" s="0" t="n">
        <v>0.0594</v>
      </c>
      <c r="N157" s="0" t="n">
        <v>-0.0406</v>
      </c>
      <c r="O157" s="0" t="inlineStr">
        <is>
          <t>📊权重预警偏离-4.1%</t>
        </is>
      </c>
    </row>
    <row r="158">
      <c r="A158" s="0" t="inlineStr">
        <is>
          <t>20260610</t>
        </is>
      </c>
      <c r="B158" s="0" t="inlineStr">
        <is>
          <t>国泰上证10年期国债ETF</t>
        </is>
      </c>
      <c r="C158" s="0" t="inlineStr">
        <is>
          <t>511260</t>
        </is>
      </c>
      <c r="D158" s="0" t="n">
        <v>3700</v>
      </c>
      <c r="E158" s="0" t="n">
        <v>135.645</v>
      </c>
      <c r="F158" s="0" t="n">
        <v>501886.5</v>
      </c>
      <c r="G158" s="0" t="n">
        <v>135.653</v>
      </c>
      <c r="H158" s="0" t="inlineStr">
        <is>
          <t>-0.07%</t>
        </is>
      </c>
      <c r="I158" s="0" t="n">
        <v>501916.1</v>
      </c>
      <c r="J158" s="0" t="n">
        <v>29.6</v>
      </c>
      <c r="K158" s="0" t="n">
        <v>0.0001</v>
      </c>
      <c r="L158" s="0" t="n">
        <v>0.1</v>
      </c>
      <c r="M158" s="0" t="n">
        <v>0.1449</v>
      </c>
      <c r="N158" s="0" t="n">
        <v>0.0449</v>
      </c>
      <c r="O158" s="0" t="inlineStr">
        <is>
          <t>📊权重预警偏离+4.5%</t>
        </is>
      </c>
    </row>
    <row r="159">
      <c r="A159" s="0" t="inlineStr">
        <is>
          <t>20260610</t>
        </is>
      </c>
      <c r="B159" s="0" t="inlineStr">
        <is>
          <t>国泰上证5年期国债ETF</t>
        </is>
      </c>
      <c r="C159" s="0" t="inlineStr">
        <is>
          <t>511010</t>
        </is>
      </c>
      <c r="D159" s="0" t="n">
        <v>3500</v>
      </c>
      <c r="E159" s="0" t="n">
        <v>141.2121</v>
      </c>
      <c r="F159" s="0" t="n">
        <v>494242.35</v>
      </c>
      <c r="G159" s="0" t="n">
        <v>141.278</v>
      </c>
      <c r="H159" s="0" t="inlineStr">
        <is>
          <t>-0.05%</t>
        </is>
      </c>
      <c r="I159" s="0" t="n">
        <v>494473</v>
      </c>
      <c r="J159" s="0" t="n">
        <v>230.65</v>
      </c>
      <c r="K159" s="0" t="n">
        <v>0.0005</v>
      </c>
      <c r="L159" s="0" t="n">
        <v>0.1</v>
      </c>
      <c r="M159" s="0" t="n">
        <v>0.1427</v>
      </c>
      <c r="N159" s="0" t="n">
        <v>0.0427</v>
      </c>
      <c r="O159" s="0" t="inlineStr">
        <is>
          <t>📊权重预警偏离+4.3%</t>
        </is>
      </c>
    </row>
    <row r="160">
      <c r="A160" s="0" t="inlineStr">
        <is>
          <t>20260610</t>
        </is>
      </c>
      <c r="B160" s="0" t="inlineStr">
        <is>
          <t>海富通中证短融ETF</t>
        </is>
      </c>
      <c r="C160" s="0" t="inlineStr">
        <is>
          <t>511360</t>
        </is>
      </c>
      <c r="D160" s="0" t="n">
        <v>2200</v>
      </c>
      <c r="E160" s="0" t="n">
        <v>113.462</v>
      </c>
      <c r="F160" s="0" t="n">
        <v>249616.4</v>
      </c>
      <c r="G160" s="0" t="n">
        <v>113.56</v>
      </c>
      <c r="H160" s="0" t="inlineStr">
        <is>
          <t>+0.00%</t>
        </is>
      </c>
      <c r="I160" s="0" t="n">
        <v>249832</v>
      </c>
      <c r="J160" s="0" t="n">
        <v>215.6</v>
      </c>
      <c r="K160" s="0" t="n">
        <v>0.0009</v>
      </c>
      <c r="L160" s="0" t="n">
        <v>0.05</v>
      </c>
      <c r="M160" s="0" t="n">
        <v>0.0721</v>
      </c>
      <c r="N160" s="0" t="n">
        <v>0.0221</v>
      </c>
      <c r="O160" s="0" t="inlineStr">
        <is>
          <t>—</t>
        </is>
      </c>
    </row>
    <row r="161">
      <c r="A161" s="0" t="inlineStr">
        <is>
          <t>20260610</t>
        </is>
      </c>
      <c r="B161" s="0" t="inlineStr">
        <is>
          <t>华安黄金ETF</t>
        </is>
      </c>
      <c r="C161" s="0" t="inlineStr">
        <is>
          <t>518880</t>
        </is>
      </c>
      <c r="D161" s="0" t="n">
        <v>47800</v>
      </c>
      <c r="E161" s="0" t="n">
        <v>9.3302</v>
      </c>
      <c r="F161" s="0" t="n">
        <v>445983.56</v>
      </c>
      <c r="G161" s="0" t="n">
        <v>8.736000000000001</v>
      </c>
      <c r="H161" s="0" t="inlineStr">
        <is>
          <t>-2.99%</t>
        </is>
      </c>
      <c r="I161" s="0" t="n">
        <v>417580.8</v>
      </c>
      <c r="J161" s="0" t="n">
        <v>-28402.76</v>
      </c>
      <c r="K161" s="0" t="n">
        <v>-0.06370000000000001</v>
      </c>
      <c r="L161" s="0" t="n">
        <v>0.15</v>
      </c>
      <c r="M161" s="0" t="n">
        <v>0.1205</v>
      </c>
      <c r="N161" s="0" t="n">
        <v>-0.0295</v>
      </c>
      <c r="O161" s="0" t="inlineStr">
        <is>
          <t>—</t>
        </is>
      </c>
    </row>
    <row r="162">
      <c r="A162" s="0" t="inlineStr">
        <is>
          <t>20260610</t>
        </is>
      </c>
      <c r="B162" s="0" t="inlineStr">
        <is>
          <t>银华日利ETF</t>
        </is>
      </c>
      <c r="C162" s="0" t="inlineStr">
        <is>
          <t>511880</t>
        </is>
      </c>
      <c r="D162" s="0" t="n">
        <v>0</v>
      </c>
      <c r="E162" s="0" t="n">
        <v>0</v>
      </c>
      <c r="F162" s="0" t="n">
        <v>0</v>
      </c>
      <c r="G162" s="0" t="n">
        <v>100.517</v>
      </c>
      <c r="H162" s="0" t="inlineStr">
        <is>
          <t>+0.00%</t>
        </is>
      </c>
      <c r="I162" s="0" t="n">
        <v>0</v>
      </c>
      <c r="J162" s="0" t="n">
        <v>0</v>
      </c>
      <c r="K162" s="0" t="n">
        <v>0</v>
      </c>
      <c r="L162" s="0" t="n">
        <v>0.05</v>
      </c>
      <c r="M162" s="0" t="n">
        <v>0</v>
      </c>
      <c r="N162" s="0" t="n">
        <v>-0.05</v>
      </c>
      <c r="O162" s="0" t="inlineStr">
        <is>
          <t>📊权重预警偏离-5.0%</t>
        </is>
      </c>
    </row>
    <row r="163">
      <c r="A163" s="0" t="inlineStr">
        <is>
          <t>20260610</t>
        </is>
      </c>
      <c r="B163" s="0" t="inlineStr">
        <is>
          <t>华宝添益ETF</t>
        </is>
      </c>
      <c r="C163" s="0" t="inlineStr">
        <is>
          <t>511990</t>
        </is>
      </c>
      <c r="D163" s="0" t="n">
        <v>0</v>
      </c>
      <c r="E163" s="0" t="n">
        <v>0</v>
      </c>
      <c r="F163" s="0" t="n">
        <v>0</v>
      </c>
      <c r="G163" s="0" t="n">
        <v>100.002</v>
      </c>
      <c r="H163" s="0" t="inlineStr">
        <is>
          <t>+0.00%</t>
        </is>
      </c>
      <c r="I163" s="0" t="n">
        <v>0</v>
      </c>
      <c r="J163" s="0" t="n">
        <v>0</v>
      </c>
      <c r="K163" s="0" t="n">
        <v>0</v>
      </c>
      <c r="L163" s="0" t="n">
        <v>0.05</v>
      </c>
      <c r="M163" s="0" t="n">
        <v>0</v>
      </c>
      <c r="N163" s="0" t="n">
        <v>-0.05</v>
      </c>
      <c r="O163" s="0" t="inlineStr">
        <is>
          <t>📊权重预警偏离-5.0%</t>
        </is>
      </c>
    </row>
    <row r="164">
      <c r="A164" s="0" t="inlineStr">
        <is>
          <t>20260611</t>
        </is>
      </c>
      <c r="B164" s="0" t="inlineStr">
        <is>
          <t>沪深300ETF</t>
        </is>
      </c>
      <c r="C164" s="0" t="inlineStr">
        <is>
          <t>510300</t>
        </is>
      </c>
      <c r="D164" s="0" t="n">
        <v>153800</v>
      </c>
      <c r="E164" s="0" t="n">
        <v>4.885</v>
      </c>
      <c r="F164" s="0" t="n">
        <v>751313</v>
      </c>
      <c r="G164" s="0" t="n">
        <v>4.751</v>
      </c>
      <c r="H164" s="0" t="inlineStr">
        <is>
          <t>-0.69%</t>
        </is>
      </c>
      <c r="I164" s="0" t="n">
        <v>730703.8</v>
      </c>
      <c r="J164" s="0" t="n">
        <v>-20609.2</v>
      </c>
      <c r="K164" s="0" t="n">
        <v>-0.0274</v>
      </c>
      <c r="L164" s="0" t="n">
        <v>0.15</v>
      </c>
      <c r="M164" s="0" t="n">
        <v>0.2186</v>
      </c>
      <c r="N164" s="0" t="n">
        <v>0.06859999999999999</v>
      </c>
      <c r="O164" s="0" t="inlineStr">
        <is>
          <t>📊权重预警偏离+6.9%</t>
        </is>
      </c>
    </row>
    <row r="165">
      <c r="A165" s="0" t="inlineStr">
        <is>
          <t>20260611</t>
        </is>
      </c>
      <c r="B165" s="0" t="inlineStr">
        <is>
          <t>中证500ETF</t>
        </is>
      </c>
      <c r="C165" s="0" t="inlineStr">
        <is>
          <t>510500</t>
        </is>
      </c>
      <c r="D165" s="0" t="n">
        <v>20000</v>
      </c>
      <c r="E165" s="0" t="n">
        <v>8.696</v>
      </c>
      <c r="F165" s="0" t="n">
        <v>173920</v>
      </c>
      <c r="G165" s="0" t="n">
        <v>8.132999999999999</v>
      </c>
      <c r="H165" s="0" t="inlineStr">
        <is>
          <t>-0.47%</t>
        </is>
      </c>
      <c r="I165" s="0" t="n">
        <v>162660</v>
      </c>
      <c r="J165" s="0" t="n">
        <v>-11260</v>
      </c>
      <c r="K165" s="0" t="n">
        <v>-0.06469999999999999</v>
      </c>
      <c r="L165" s="0" t="n">
        <v>0.1</v>
      </c>
      <c r="M165" s="0" t="n">
        <v>0.0487</v>
      </c>
      <c r="N165" s="0" t="n">
        <v>-0.0513</v>
      </c>
      <c r="O165" s="0" t="inlineStr">
        <is>
          <t>📊权重预警偏离-5.1%</t>
        </is>
      </c>
    </row>
    <row r="166">
      <c r="A166" s="0" t="inlineStr">
        <is>
          <t>20260611</t>
        </is>
      </c>
      <c r="B166" s="0" t="inlineStr">
        <is>
          <t>科创50ETF</t>
        </is>
      </c>
      <c r="C166" s="0" t="inlineStr">
        <is>
          <t>588050</t>
        </is>
      </c>
      <c r="D166" s="0" t="n">
        <v>60000</v>
      </c>
      <c r="E166" s="0" t="n">
        <v>1.838</v>
      </c>
      <c r="F166" s="0" t="n">
        <v>110280</v>
      </c>
      <c r="G166" s="0" t="n">
        <v>1.71</v>
      </c>
      <c r="H166" s="0" t="inlineStr">
        <is>
          <t>+0.65%</t>
        </is>
      </c>
      <c r="I166" s="0" t="n">
        <v>102600</v>
      </c>
      <c r="J166" s="0" t="n">
        <v>-7680</v>
      </c>
      <c r="K166" s="0" t="n">
        <v>-0.0696</v>
      </c>
      <c r="L166" s="0" t="n">
        <v>0.05</v>
      </c>
      <c r="M166" s="0" t="n">
        <v>0.0307</v>
      </c>
      <c r="N166" s="0" t="n">
        <v>-0.0193</v>
      </c>
      <c r="O166" s="0" t="inlineStr">
        <is>
          <t>⚡预警：浮亏-7.0% &gt;= -5%，暂停新增买入</t>
        </is>
      </c>
    </row>
    <row r="167">
      <c r="A167" s="0" t="inlineStr">
        <is>
          <t>20260611</t>
        </is>
      </c>
      <c r="B167" s="0" t="inlineStr">
        <is>
          <t>创业板ETF</t>
        </is>
      </c>
      <c r="C167" s="0" t="inlineStr">
        <is>
          <t>159915</t>
        </is>
      </c>
      <c r="D167" s="0" t="n">
        <v>63000</v>
      </c>
      <c r="E167" s="0" t="n">
        <v>3.968</v>
      </c>
      <c r="F167" s="0" t="n">
        <v>249984</v>
      </c>
      <c r="G167" s="0" t="n">
        <v>3.83</v>
      </c>
      <c r="H167" s="0" t="inlineStr">
        <is>
          <t>-1.03%</t>
        </is>
      </c>
      <c r="I167" s="0" t="n">
        <v>241290</v>
      </c>
      <c r="J167" s="0" t="n">
        <v>-8694</v>
      </c>
      <c r="K167" s="0" t="n">
        <v>-0.0348</v>
      </c>
      <c r="L167" s="0" t="n">
        <v>0.05</v>
      </c>
      <c r="M167" s="0" t="n">
        <v>0.0722</v>
      </c>
      <c r="N167" s="0" t="n">
        <v>0.0222</v>
      </c>
      <c r="O167" s="0" t="inlineStr">
        <is>
          <t>—</t>
        </is>
      </c>
    </row>
    <row r="168">
      <c r="A168" s="0" t="inlineStr">
        <is>
          <t>20260611</t>
        </is>
      </c>
      <c r="B168" s="0" t="inlineStr">
        <is>
          <t>红利低波ETF</t>
        </is>
      </c>
      <c r="C168" s="0" t="inlineStr">
        <is>
          <t>512890</t>
        </is>
      </c>
      <c r="D168" s="0" t="n">
        <v>218000</v>
      </c>
      <c r="E168" s="0" t="n">
        <v>1.15</v>
      </c>
      <c r="F168" s="0" t="n">
        <v>250700</v>
      </c>
      <c r="G168" s="0" t="n">
        <v>1.162</v>
      </c>
      <c r="H168" s="0" t="inlineStr">
        <is>
          <t>-0.85%</t>
        </is>
      </c>
      <c r="I168" s="0" t="n">
        <v>253316</v>
      </c>
      <c r="J168" s="0" t="n">
        <v>2616</v>
      </c>
      <c r="K168" s="0" t="n">
        <v>0.0104</v>
      </c>
      <c r="L168" s="0" t="n">
        <v>0.05</v>
      </c>
      <c r="M168" s="0" t="n">
        <v>0.07580000000000001</v>
      </c>
      <c r="N168" s="0" t="n">
        <v>0.0258</v>
      </c>
      <c r="O168" s="0" t="inlineStr">
        <is>
          <t>—</t>
        </is>
      </c>
    </row>
    <row r="169">
      <c r="A169" s="0" t="inlineStr">
        <is>
          <t>20260611</t>
        </is>
      </c>
      <c r="B169" s="0" t="inlineStr">
        <is>
          <t>可转债ETF</t>
        </is>
      </c>
      <c r="C169" s="0" t="inlineStr">
        <is>
          <t>511380</t>
        </is>
      </c>
      <c r="D169" s="0" t="n">
        <v>14500</v>
      </c>
      <c r="E169" s="0" t="n">
        <v>13.8644</v>
      </c>
      <c r="F169" s="0" t="n">
        <v>201033.8</v>
      </c>
      <c r="G169" s="0" t="n">
        <v>13.814</v>
      </c>
      <c r="H169" s="0" t="inlineStr">
        <is>
          <t>+0.32%</t>
        </is>
      </c>
      <c r="I169" s="0" t="n">
        <v>200303</v>
      </c>
      <c r="J169" s="0" t="n">
        <v>-730.8</v>
      </c>
      <c r="K169" s="0" t="n">
        <v>-0.0036</v>
      </c>
      <c r="L169" s="0" t="n">
        <v>0.1</v>
      </c>
      <c r="M169" s="0" t="n">
        <v>0.0599</v>
      </c>
      <c r="N169" s="0" t="n">
        <v>-0.0401</v>
      </c>
      <c r="O169" s="0" t="inlineStr">
        <is>
          <t>📊权重预警偏离-4.0%</t>
        </is>
      </c>
    </row>
    <row r="170">
      <c r="A170" s="0" t="inlineStr">
        <is>
          <t>20260611</t>
        </is>
      </c>
      <c r="B170" s="0" t="inlineStr">
        <is>
          <t>10年国债ETF</t>
        </is>
      </c>
      <c r="C170" s="0" t="inlineStr">
        <is>
          <t>511260</t>
        </is>
      </c>
      <c r="D170" s="0" t="n">
        <v>3700</v>
      </c>
      <c r="E170" s="0" t="n">
        <v>135.645</v>
      </c>
      <c r="F170" s="0" t="n">
        <v>501886.5</v>
      </c>
      <c r="G170" s="0" t="n">
        <v>135.511</v>
      </c>
      <c r="H170" s="0" t="inlineStr">
        <is>
          <t>-0.11%</t>
        </is>
      </c>
      <c r="I170" s="0" t="n">
        <v>501390.7</v>
      </c>
      <c r="J170" s="0" t="n">
        <v>-495.8</v>
      </c>
      <c r="K170" s="0" t="n">
        <v>-0.001</v>
      </c>
      <c r="L170" s="0" t="n">
        <v>0.1</v>
      </c>
      <c r="M170" s="0" t="n">
        <v>0.15</v>
      </c>
      <c r="N170" s="0" t="n">
        <v>0.05</v>
      </c>
      <c r="O170" s="0" t="inlineStr">
        <is>
          <t>📊权重预警偏离+5.0%</t>
        </is>
      </c>
    </row>
    <row r="171">
      <c r="A171" s="0" t="inlineStr">
        <is>
          <t>20260611</t>
        </is>
      </c>
      <c r="B171" s="0" t="inlineStr">
        <is>
          <t>5年国债ETF</t>
        </is>
      </c>
      <c r="C171" s="0" t="inlineStr">
        <is>
          <t>511010</t>
        </is>
      </c>
      <c r="D171" s="0" t="n">
        <v>3500</v>
      </c>
      <c r="E171" s="0" t="n">
        <v>141.2121</v>
      </c>
      <c r="F171" s="0" t="n">
        <v>494242.35</v>
      </c>
      <c r="G171" s="0" t="n">
        <v>141.138</v>
      </c>
      <c r="H171" s="0" t="inlineStr">
        <is>
          <t>-0.10%</t>
        </is>
      </c>
      <c r="I171" s="0" t="n">
        <v>493983</v>
      </c>
      <c r="J171" s="0" t="n">
        <v>-259.35</v>
      </c>
      <c r="K171" s="0" t="n">
        <v>-0.0005</v>
      </c>
      <c r="L171" s="0" t="n">
        <v>0.1</v>
      </c>
      <c r="M171" s="0" t="n">
        <v>0.1478</v>
      </c>
      <c r="N171" s="0" t="n">
        <v>0.0478</v>
      </c>
      <c r="O171" s="0" t="inlineStr">
        <is>
          <t>📊权重预警偏离+4.8%</t>
        </is>
      </c>
    </row>
    <row r="172">
      <c r="A172" s="0" t="inlineStr">
        <is>
          <t>20260611</t>
        </is>
      </c>
      <c r="B172" s="0" t="inlineStr">
        <is>
          <t>短融ETF</t>
        </is>
      </c>
      <c r="C172" s="0" t="inlineStr">
        <is>
          <t>511360</t>
        </is>
      </c>
      <c r="D172" s="0" t="n">
        <v>2200</v>
      </c>
      <c r="E172" s="0" t="n">
        <v>113.462</v>
      </c>
      <c r="F172" s="0" t="n">
        <v>249616.4</v>
      </c>
      <c r="G172" s="0" t="n">
        <v>113.552</v>
      </c>
      <c r="H172" s="0" t="inlineStr">
        <is>
          <t>-0.01%</t>
        </is>
      </c>
      <c r="I172" s="0" t="n">
        <v>249814.4</v>
      </c>
      <c r="J172" s="0" t="n">
        <v>198</v>
      </c>
      <c r="K172" s="0" t="n">
        <v>0.0008</v>
      </c>
      <c r="L172" s="0" t="n">
        <v>0.05</v>
      </c>
      <c r="M172" s="0" t="n">
        <v>0.0747</v>
      </c>
      <c r="N172" s="0" t="n">
        <v>0.0247</v>
      </c>
      <c r="O172" s="0" t="inlineStr">
        <is>
          <t>—</t>
        </is>
      </c>
    </row>
    <row r="173">
      <c r="A173" s="0" t="inlineStr">
        <is>
          <t>20260611</t>
        </is>
      </c>
      <c r="B173" s="0" t="inlineStr">
        <is>
          <t>黄金ETF</t>
        </is>
      </c>
      <c r="C173" s="0" t="inlineStr">
        <is>
          <t>518880</t>
        </is>
      </c>
      <c r="D173" s="0" t="n">
        <v>47800</v>
      </c>
      <c r="E173" s="0" t="n">
        <v>9.3302</v>
      </c>
      <c r="F173" s="0" t="n">
        <v>445983.56</v>
      </c>
      <c r="G173" s="0" t="n">
        <v>8.506</v>
      </c>
      <c r="H173" s="0" t="inlineStr">
        <is>
          <t>-2.63%</t>
        </is>
      </c>
      <c r="I173" s="0" t="n">
        <v>406586.8</v>
      </c>
      <c r="J173" s="0" t="n">
        <v>-39396.76</v>
      </c>
      <c r="K173" s="0" t="n">
        <v>-0.0883</v>
      </c>
      <c r="L173" s="0" t="n">
        <v>0.15</v>
      </c>
      <c r="M173" s="0" t="n">
        <v>0.1216</v>
      </c>
      <c r="N173" s="0" t="n">
        <v>-0.0284</v>
      </c>
      <c r="O173" s="0" t="inlineStr">
        <is>
          <t>—</t>
        </is>
      </c>
    </row>
    <row r="174">
      <c r="A174" s="0" t="inlineStr">
        <is>
          <t>20260611</t>
        </is>
      </c>
      <c r="B174" s="0" t="inlineStr">
        <is>
          <t>银华日利ETF</t>
        </is>
      </c>
      <c r="C174" s="0" t="inlineStr">
        <is>
          <t>511880</t>
        </is>
      </c>
      <c r="D174" s="0" t="n">
        <v>0</v>
      </c>
      <c r="F174" s="0" t="n">
        <v>0</v>
      </c>
      <c r="G174" s="0" t="n">
        <v>100.523</v>
      </c>
      <c r="H174" s="0" t="inlineStr">
        <is>
          <t>+0.01%</t>
        </is>
      </c>
      <c r="I174" s="0" t="n">
        <v>0</v>
      </c>
      <c r="J174" s="0" t="n">
        <v>0</v>
      </c>
      <c r="K174" s="0" t="n">
        <v>0</v>
      </c>
      <c r="L174" s="0" t="n">
        <v>0.05</v>
      </c>
      <c r="M174" s="0" t="n">
        <v>0</v>
      </c>
      <c r="N174" s="0" t="n">
        <v>-0.05</v>
      </c>
      <c r="O174" s="0" t="inlineStr">
        <is>
          <t>📊权重预警偏离-5.0%</t>
        </is>
      </c>
    </row>
    <row r="175">
      <c r="A175" s="0" t="inlineStr">
        <is>
          <t>20260611</t>
        </is>
      </c>
      <c r="B175" s="0" t="inlineStr">
        <is>
          <t>华宝添益ETF</t>
        </is>
      </c>
      <c r="C175" s="0" t="inlineStr">
        <is>
          <t>511990</t>
        </is>
      </c>
      <c r="D175" s="0" t="n">
        <v>0</v>
      </c>
      <c r="F175" s="0" t="n">
        <v>0</v>
      </c>
      <c r="G175" s="0" t="n">
        <v>100.002</v>
      </c>
      <c r="H175" s="0" t="inlineStr">
        <is>
          <t>+0.00%</t>
        </is>
      </c>
      <c r="I175" s="0" t="n">
        <v>0</v>
      </c>
      <c r="J175" s="0" t="n">
        <v>0</v>
      </c>
      <c r="K175" s="0" t="n">
        <v>0</v>
      </c>
      <c r="L175" s="0" t="n">
        <v>0.05</v>
      </c>
      <c r="M175" s="0" t="n">
        <v>0</v>
      </c>
      <c r="N175" s="0" t="n">
        <v>-0.05</v>
      </c>
      <c r="O175" s="0" t="inlineStr">
        <is>
          <t>📊权重预警偏离-5.0%</t>
        </is>
      </c>
    </row>
    <row r="176">
      <c r="A176" s="0" t="inlineStr">
        <is>
          <t>20260615</t>
        </is>
      </c>
      <c r="B176" s="0" t="inlineStr">
        <is>
          <t>沪深300ETF</t>
        </is>
      </c>
      <c r="C176" s="0" t="inlineStr">
        <is>
          <t>510300</t>
        </is>
      </c>
      <c r="D176" s="0" t="n">
        <v>153800</v>
      </c>
      <c r="E176" s="0" t="n">
        <v>4.885</v>
      </c>
      <c r="F176" s="0" t="n">
        <v>751313</v>
      </c>
      <c r="G176" s="0" t="n">
        <v>4.818</v>
      </c>
      <c r="H176" s="0" t="n">
        <v>0.0141</v>
      </c>
      <c r="I176" s="0" t="n">
        <v>741008.4</v>
      </c>
      <c r="J176" s="0" t="n">
        <v>-10304.6</v>
      </c>
      <c r="K176" s="0" t="n">
        <v>-0.0137</v>
      </c>
      <c r="L176" s="0" t="n">
        <v>0.15</v>
      </c>
      <c r="M176" s="0" t="n">
        <v>0.2156</v>
      </c>
      <c r="N176" s="0" t="n">
        <v>0.06560000000000001</v>
      </c>
      <c r="O176" s="0" t="inlineStr">
        <is>
          <t>📊权重预警偏离+6.6%</t>
        </is>
      </c>
    </row>
    <row r="177">
      <c r="A177" s="0" t="inlineStr">
        <is>
          <t>20260615</t>
        </is>
      </c>
      <c r="B177" s="0" t="inlineStr">
        <is>
          <t>中证500ETF</t>
        </is>
      </c>
      <c r="C177" s="0" t="inlineStr">
        <is>
          <t>510500</t>
        </is>
      </c>
      <c r="D177" s="0" t="n">
        <v>20000</v>
      </c>
      <c r="E177" s="0" t="n">
        <v>8.696</v>
      </c>
      <c r="F177" s="0" t="n">
        <v>173920</v>
      </c>
      <c r="G177" s="0" t="n">
        <v>8.242000000000001</v>
      </c>
      <c r="H177" s="0" t="n">
        <v>0.0134</v>
      </c>
      <c r="I177" s="0" t="n">
        <v>164840</v>
      </c>
      <c r="J177" s="0" t="n">
        <v>-9080</v>
      </c>
      <c r="K177" s="0" t="n">
        <v>-0.0522</v>
      </c>
      <c r="L177" s="0" t="n">
        <v>0.1</v>
      </c>
      <c r="M177" s="0" t="n">
        <v>0.048</v>
      </c>
      <c r="N177" s="0" t="n">
        <v>-0.052</v>
      </c>
      <c r="O177" s="0" t="inlineStr">
        <is>
          <t>📊权重预警偏离-5.2%</t>
        </is>
      </c>
    </row>
    <row r="178">
      <c r="A178" s="0" t="inlineStr">
        <is>
          <t>20260615</t>
        </is>
      </c>
      <c r="B178" s="0" t="inlineStr">
        <is>
          <t>科创50ETF</t>
        </is>
      </c>
      <c r="C178" s="0" t="inlineStr">
        <is>
          <t>588050</t>
        </is>
      </c>
      <c r="D178" s="0" t="n">
        <v>60000</v>
      </c>
      <c r="E178" s="0" t="n">
        <v>1.838</v>
      </c>
      <c r="F178" s="0" t="n">
        <v>110280</v>
      </c>
      <c r="G178" s="0" t="n">
        <v>1.709</v>
      </c>
      <c r="H178" s="0" t="n">
        <v>-0.0005999999999999999</v>
      </c>
      <c r="I178" s="0" t="n">
        <v>102540</v>
      </c>
      <c r="J178" s="0" t="n">
        <v>-7740</v>
      </c>
      <c r="K178" s="0" t="n">
        <v>-0.0702</v>
      </c>
      <c r="L178" s="0" t="n">
        <v>0.05</v>
      </c>
      <c r="M178" s="0" t="n">
        <v>0.0298</v>
      </c>
      <c r="N178" s="0" t="n">
        <v>-0.0202</v>
      </c>
      <c r="O178" s="0" t="inlineStr">
        <is>
          <t>⚡预警：浮亏-7.0% &gt;= -5%，暂停新增买入</t>
        </is>
      </c>
    </row>
    <row r="179">
      <c r="A179" s="0" t="inlineStr">
        <is>
          <t>20260615</t>
        </is>
      </c>
      <c r="B179" s="0" t="inlineStr">
        <is>
          <t>创业板ETF</t>
        </is>
      </c>
      <c r="C179" s="0" t="inlineStr">
        <is>
          <t>159915</t>
        </is>
      </c>
      <c r="D179" s="0" t="n">
        <v>63000</v>
      </c>
      <c r="E179" s="0" t="n">
        <v>3.968</v>
      </c>
      <c r="F179" s="0" t="n">
        <v>249984</v>
      </c>
      <c r="G179" s="0" t="n">
        <v>3.846</v>
      </c>
      <c r="H179" s="0" t="n">
        <v>0.0042</v>
      </c>
      <c r="I179" s="0" t="n">
        <v>242298</v>
      </c>
      <c r="J179" s="0" t="n">
        <v>-7686</v>
      </c>
      <c r="K179" s="0" t="n">
        <v>-0.0307</v>
      </c>
      <c r="L179" s="0" t="n">
        <v>0.05</v>
      </c>
      <c r="M179" s="0" t="n">
        <v>0.07049999999999999</v>
      </c>
      <c r="N179" s="0" t="n">
        <v>0.0205</v>
      </c>
      <c r="O179" s="0" t="inlineStr">
        <is>
          <t>—</t>
        </is>
      </c>
    </row>
    <row r="180">
      <c r="A180" s="0" t="inlineStr">
        <is>
          <t>20260615</t>
        </is>
      </c>
      <c r="B180" s="0" t="inlineStr">
        <is>
          <t>红利低波ETF</t>
        </is>
      </c>
      <c r="C180" s="0" t="inlineStr">
        <is>
          <t>512890</t>
        </is>
      </c>
      <c r="D180" s="0" t="n">
        <v>218000</v>
      </c>
      <c r="E180" s="0" t="n">
        <v>1.15</v>
      </c>
      <c r="F180" s="0" t="n">
        <v>250700</v>
      </c>
      <c r="G180" s="0" t="n">
        <v>1.172</v>
      </c>
      <c r="H180" s="0" t="n">
        <v>0.0086</v>
      </c>
      <c r="I180" s="0" t="n">
        <v>255496</v>
      </c>
      <c r="J180" s="0" t="n">
        <v>4796</v>
      </c>
      <c r="K180" s="0" t="n">
        <v>0.0191</v>
      </c>
      <c r="L180" s="0" t="n">
        <v>0.05</v>
      </c>
      <c r="M180" s="0" t="n">
        <v>0.0743</v>
      </c>
      <c r="N180" s="0" t="n">
        <v>0.0243</v>
      </c>
      <c r="O180" s="0" t="inlineStr">
        <is>
          <t>—</t>
        </is>
      </c>
    </row>
    <row r="181">
      <c r="A181" s="0" t="inlineStr">
        <is>
          <t>20260615</t>
        </is>
      </c>
      <c r="B181" s="0" t="inlineStr">
        <is>
          <t>可转债ETF</t>
        </is>
      </c>
      <c r="C181" s="0" t="inlineStr">
        <is>
          <t>511380</t>
        </is>
      </c>
      <c r="D181" s="0" t="n">
        <v>14500</v>
      </c>
      <c r="E181" s="0" t="n">
        <v>13.8644</v>
      </c>
      <c r="F181" s="0" t="n">
        <v>201033.8</v>
      </c>
      <c r="G181" s="0" t="n">
        <v>13.929</v>
      </c>
      <c r="H181" s="0" t="n">
        <v>0.0083</v>
      </c>
      <c r="I181" s="0" t="n">
        <v>201970.5</v>
      </c>
      <c r="J181" s="0" t="n">
        <v>936.7</v>
      </c>
      <c r="K181" s="0" t="n">
        <v>0.0047</v>
      </c>
      <c r="L181" s="0" t="n">
        <v>0.1</v>
      </c>
      <c r="M181" s="0" t="n">
        <v>0.0588</v>
      </c>
      <c r="N181" s="0" t="n">
        <v>-0.0412</v>
      </c>
      <c r="O181" s="0" t="inlineStr">
        <is>
          <t>📊权重预警偏离-4.1%</t>
        </is>
      </c>
    </row>
    <row r="182">
      <c r="A182" s="0" t="inlineStr">
        <is>
          <t>20260615</t>
        </is>
      </c>
      <c r="B182" s="0" t="inlineStr">
        <is>
          <t>10年国债ETF</t>
        </is>
      </c>
      <c r="C182" s="0" t="inlineStr">
        <is>
          <t>511260</t>
        </is>
      </c>
      <c r="D182" s="0" t="n">
        <v>3700</v>
      </c>
      <c r="E182" s="0" t="n">
        <v>135.645</v>
      </c>
      <c r="F182" s="0" t="n">
        <v>501886.5</v>
      </c>
      <c r="G182" s="0" t="n">
        <v>135.582</v>
      </c>
      <c r="H182" s="0" t="n">
        <v>0.0005</v>
      </c>
      <c r="I182" s="0" t="n">
        <v>501653.4</v>
      </c>
      <c r="J182" s="0" t="n">
        <v>-233.1</v>
      </c>
      <c r="K182" s="0" t="n">
        <v>-0.0005</v>
      </c>
      <c r="L182" s="0" t="n">
        <v>0.1</v>
      </c>
      <c r="M182" s="0" t="n">
        <v>0.146</v>
      </c>
      <c r="N182" s="0" t="n">
        <v>0.046</v>
      </c>
      <c r="O182" s="0" t="inlineStr">
        <is>
          <t>📊权重预警偏离+4.6%</t>
        </is>
      </c>
    </row>
    <row r="183">
      <c r="A183" s="0" t="inlineStr">
        <is>
          <t>20260615</t>
        </is>
      </c>
      <c r="B183" s="0" t="inlineStr">
        <is>
          <t>5年国债ETF</t>
        </is>
      </c>
      <c r="C183" s="0" t="inlineStr">
        <is>
          <t>511010</t>
        </is>
      </c>
      <c r="D183" s="0" t="n">
        <v>3500</v>
      </c>
      <c r="E183" s="0" t="n">
        <v>141.2121</v>
      </c>
      <c r="F183" s="0" t="n">
        <v>494242.35</v>
      </c>
      <c r="G183" s="0" t="n">
        <v>141.163</v>
      </c>
      <c r="H183" s="0" t="n">
        <v>0.0002</v>
      </c>
      <c r="I183" s="0" t="n">
        <v>494070.5</v>
      </c>
      <c r="J183" s="0" t="n">
        <v>-171.85</v>
      </c>
      <c r="K183" s="0" t="n">
        <v>-0.0003</v>
      </c>
      <c r="L183" s="0" t="n">
        <v>0.1</v>
      </c>
      <c r="M183" s="0" t="n">
        <v>0.1438</v>
      </c>
      <c r="N183" s="0" t="n">
        <v>0.0438</v>
      </c>
      <c r="O183" s="0" t="inlineStr">
        <is>
          <t>📊权重预警偏离+4.4%</t>
        </is>
      </c>
    </row>
    <row r="184">
      <c r="A184" s="0" t="inlineStr">
        <is>
          <t>20260615</t>
        </is>
      </c>
      <c r="B184" s="0" t="inlineStr">
        <is>
          <t>短融ETF</t>
        </is>
      </c>
      <c r="C184" s="0" t="inlineStr">
        <is>
          <t>511360</t>
        </is>
      </c>
      <c r="D184" s="0" t="n">
        <v>2200</v>
      </c>
      <c r="E184" s="0" t="n">
        <v>113.462</v>
      </c>
      <c r="F184" s="0" t="n">
        <v>249616.4</v>
      </c>
      <c r="G184" s="0" t="n">
        <v>113.538</v>
      </c>
      <c r="H184" s="0" t="n">
        <v>-0.0001</v>
      </c>
      <c r="I184" s="0" t="n">
        <v>249783.6</v>
      </c>
      <c r="J184" s="0" t="n">
        <v>167.2</v>
      </c>
      <c r="K184" s="0" t="n">
        <v>0.0007</v>
      </c>
      <c r="L184" s="0" t="n">
        <v>0.05</v>
      </c>
      <c r="M184" s="0" t="n">
        <v>0.0727</v>
      </c>
      <c r="N184" s="0" t="n">
        <v>0.0227</v>
      </c>
      <c r="O184" s="0" t="inlineStr">
        <is>
          <t>—</t>
        </is>
      </c>
    </row>
    <row r="185">
      <c r="A185" s="0" t="inlineStr">
        <is>
          <t>20260615</t>
        </is>
      </c>
      <c r="B185" s="0" t="inlineStr">
        <is>
          <t>黄金ETF</t>
        </is>
      </c>
      <c r="C185" s="0" t="inlineStr">
        <is>
          <t>518880</t>
        </is>
      </c>
      <c r="D185" s="0" t="n">
        <v>55800</v>
      </c>
      <c r="E185" s="0" t="n">
        <v>9.232699999999999</v>
      </c>
      <c r="F185" s="0" t="n">
        <v>515184.66</v>
      </c>
      <c r="G185" s="0" t="n">
        <v>8.659000000000001</v>
      </c>
      <c r="H185" s="0" t="n">
        <v>0.018</v>
      </c>
      <c r="I185" s="0" t="n">
        <v>483172.2</v>
      </c>
      <c r="J185" s="0" t="n">
        <v>-32012.46</v>
      </c>
      <c r="K185" s="0" t="n">
        <v>-0.0621</v>
      </c>
      <c r="L185" s="0" t="n">
        <v>0.15</v>
      </c>
      <c r="M185" s="0" t="n">
        <v>0.1406</v>
      </c>
      <c r="N185" s="0" t="n">
        <v>-0.0094</v>
      </c>
      <c r="O185" s="0" t="inlineStr">
        <is>
          <t>—</t>
        </is>
      </c>
    </row>
    <row r="186">
      <c r="A186" s="0" t="inlineStr">
        <is>
          <t>20260615</t>
        </is>
      </c>
      <c r="B186" s="0" t="inlineStr">
        <is>
          <t>银华日利ETF</t>
        </is>
      </c>
      <c r="C186" s="0" t="inlineStr">
        <is>
          <t>511880</t>
        </is>
      </c>
      <c r="G186" s="0" t="n">
        <v>100.517</v>
      </c>
      <c r="H186" s="0" t="n">
        <v>-0.0001</v>
      </c>
      <c r="I186" s="0" t="n">
        <v>0</v>
      </c>
      <c r="J186" s="0" t="n">
        <v>0</v>
      </c>
      <c r="K186" s="0" t="n">
        <v>0</v>
      </c>
      <c r="L186" s="0" t="n">
        <v>0.05</v>
      </c>
      <c r="M186" s="0" t="n">
        <v>0</v>
      </c>
      <c r="N186" s="0" t="n">
        <v>-0.05</v>
      </c>
      <c r="O186" s="0" t="inlineStr">
        <is>
          <t>📊权重预警偏离-5.0%</t>
        </is>
      </c>
    </row>
    <row r="187">
      <c r="A187" s="0" t="inlineStr">
        <is>
          <t>20260615</t>
        </is>
      </c>
      <c r="B187" s="0" t="inlineStr">
        <is>
          <t>华宝添益ETF</t>
        </is>
      </c>
      <c r="C187" s="0" t="inlineStr">
        <is>
          <t>511990</t>
        </is>
      </c>
      <c r="G187" s="0" t="n">
        <v>100.003</v>
      </c>
      <c r="I187" s="0" t="n">
        <v>0</v>
      </c>
      <c r="J187" s="0" t="n">
        <v>0</v>
      </c>
      <c r="K187" s="0" t="n">
        <v>0</v>
      </c>
      <c r="L187" s="0" t="n">
        <v>0.05</v>
      </c>
      <c r="M187" s="0" t="n">
        <v>0</v>
      </c>
      <c r="N187" s="0" t="n">
        <v>-0.05</v>
      </c>
      <c r="O187" s="0" t="inlineStr">
        <is>
          <t>📊权重预警偏离-5.0%</t>
        </is>
      </c>
    </row>
    <row r="188">
      <c r="A188" s="0" t="inlineStr">
        <is>
          <t>20260616</t>
        </is>
      </c>
      <c r="B188" s="0" t="inlineStr">
        <is>
          <t>沪深300ETF</t>
        </is>
      </c>
      <c r="C188" s="0" t="inlineStr">
        <is>
          <t>510300</t>
        </is>
      </c>
      <c r="D188" s="0" t="n">
        <v>153800</v>
      </c>
      <c r="E188" s="0" t="n">
        <v>4.885</v>
      </c>
      <c r="F188" s="0" t="n">
        <v>751313</v>
      </c>
      <c r="G188" s="0" t="n">
        <v>4.91</v>
      </c>
      <c r="H188" s="0" t="n">
        <v>-0.0018</v>
      </c>
      <c r="I188" s="0" t="n">
        <v>755158</v>
      </c>
      <c r="J188" s="0" t="n">
        <v>3845</v>
      </c>
      <c r="K188" s="0" t="n">
        <v>0.0051</v>
      </c>
      <c r="L188" s="0" t="n">
        <v>0.15</v>
      </c>
      <c r="M188" s="0" t="n">
        <v>0.216</v>
      </c>
      <c r="N188" s="0" t="n">
        <v>0.066</v>
      </c>
      <c r="O188" s="0" t="inlineStr">
        <is>
          <t>—</t>
        </is>
      </c>
    </row>
    <row r="189">
      <c r="A189" s="0" t="inlineStr">
        <is>
          <t>20260616</t>
        </is>
      </c>
      <c r="B189" s="0" t="inlineStr">
        <is>
          <t>中证500ETF</t>
        </is>
      </c>
      <c r="C189" s="0" t="inlineStr">
        <is>
          <t>510500</t>
        </is>
      </c>
      <c r="D189" s="0" t="n">
        <v>20000</v>
      </c>
      <c r="E189" s="0" t="n">
        <v>8.696</v>
      </c>
      <c r="F189" s="0" t="n">
        <v>173920</v>
      </c>
      <c r="G189" s="0" t="n">
        <v>8.632</v>
      </c>
      <c r="H189" s="0" t="n">
        <v>0.0103</v>
      </c>
      <c r="I189" s="0" t="n">
        <v>172640</v>
      </c>
      <c r="J189" s="0" t="n">
        <v>-1280</v>
      </c>
      <c r="K189" s="0" t="n">
        <v>-0.0074</v>
      </c>
      <c r="L189" s="0" t="n">
        <v>0.1</v>
      </c>
      <c r="M189" s="0" t="n">
        <v>0.0494</v>
      </c>
      <c r="N189" s="0" t="n">
        <v>-0.0506</v>
      </c>
      <c r="O189" s="0" t="inlineStr">
        <is>
          <t>—</t>
        </is>
      </c>
    </row>
    <row r="190">
      <c r="A190" s="0" t="inlineStr">
        <is>
          <t>20260616</t>
        </is>
      </c>
      <c r="B190" s="0" t="inlineStr">
        <is>
          <t>科创50ETF</t>
        </is>
      </c>
      <c r="C190" s="0" t="inlineStr">
        <is>
          <t>588050</t>
        </is>
      </c>
      <c r="D190" s="0" t="n">
        <v>60000</v>
      </c>
      <c r="E190" s="0" t="n">
        <v>1.838</v>
      </c>
      <c r="F190" s="0" t="n">
        <v>110280</v>
      </c>
      <c r="G190" s="0" t="n">
        <v>1.799</v>
      </c>
      <c r="H190" s="0" t="n">
        <v>0.0022</v>
      </c>
      <c r="I190" s="0" t="n">
        <v>107940</v>
      </c>
      <c r="J190" s="0" t="n">
        <v>-2340</v>
      </c>
      <c r="K190" s="0" t="n">
        <v>-0.0212</v>
      </c>
      <c r="L190" s="0" t="n">
        <v>0.05</v>
      </c>
      <c r="M190" s="0" t="n">
        <v>0.0309</v>
      </c>
      <c r="N190" s="0" t="n">
        <v>-0.0191</v>
      </c>
      <c r="O190" s="0" t="inlineStr">
        <is>
          <t>—</t>
        </is>
      </c>
    </row>
    <row r="191">
      <c r="A191" s="0" t="inlineStr">
        <is>
          <t>20260616</t>
        </is>
      </c>
      <c r="B191" s="0" t="inlineStr">
        <is>
          <t>创业板ETF</t>
        </is>
      </c>
      <c r="C191" s="0" t="inlineStr">
        <is>
          <t>159915</t>
        </is>
      </c>
      <c r="D191" s="0" t="n">
        <v>63000</v>
      </c>
      <c r="E191" s="0" t="n">
        <v>3.968</v>
      </c>
      <c r="F191" s="0" t="n">
        <v>249984</v>
      </c>
      <c r="G191" s="0" t="n">
        <v>4.111</v>
      </c>
      <c r="H191" s="0" t="n">
        <v>0.0163</v>
      </c>
      <c r="I191" s="0" t="n">
        <v>258993</v>
      </c>
      <c r="J191" s="0" t="n">
        <v>9009</v>
      </c>
      <c r="K191" s="0" t="n">
        <v>0.036</v>
      </c>
      <c r="L191" s="0" t="n">
        <v>0.05</v>
      </c>
      <c r="M191" s="0" t="n">
        <v>0.0741</v>
      </c>
      <c r="N191" s="0" t="n">
        <v>0.0241</v>
      </c>
      <c r="O191" s="0" t="inlineStr">
        <is>
          <t>—</t>
        </is>
      </c>
    </row>
    <row r="192">
      <c r="A192" s="0" t="inlineStr">
        <is>
          <t>20260616</t>
        </is>
      </c>
      <c r="B192" s="0" t="inlineStr">
        <is>
          <t>红利低波ETF</t>
        </is>
      </c>
      <c r="C192" s="0" t="inlineStr">
        <is>
          <t>512890</t>
        </is>
      </c>
      <c r="D192" s="0" t="n">
        <v>218000</v>
      </c>
      <c r="E192" s="0" t="n">
        <v>1.15</v>
      </c>
      <c r="F192" s="0" t="n">
        <v>250700</v>
      </c>
      <c r="G192" s="0" t="n">
        <v>1.145</v>
      </c>
      <c r="H192" s="0" t="n">
        <v>-0.0138</v>
      </c>
      <c r="I192" s="0" t="n">
        <v>249610</v>
      </c>
      <c r="J192" s="0" t="n">
        <v>-1090</v>
      </c>
      <c r="K192" s="0" t="n">
        <v>-0.0043</v>
      </c>
      <c r="L192" s="0" t="n">
        <v>0.05</v>
      </c>
      <c r="M192" s="0" t="n">
        <v>0.07140000000000001</v>
      </c>
      <c r="N192" s="0" t="n">
        <v>0.0214</v>
      </c>
      <c r="O192" s="0" t="inlineStr">
        <is>
          <t>—</t>
        </is>
      </c>
    </row>
    <row r="193">
      <c r="A193" s="0" t="inlineStr">
        <is>
          <t>20260616</t>
        </is>
      </c>
      <c r="B193" s="0" t="inlineStr">
        <is>
          <t>可转债ETF</t>
        </is>
      </c>
      <c r="C193" s="0" t="inlineStr">
        <is>
          <t>511380</t>
        </is>
      </c>
      <c r="D193" s="0" t="n">
        <v>14500</v>
      </c>
      <c r="E193" s="0" t="n">
        <v>13.8644</v>
      </c>
      <c r="F193" s="0" t="n">
        <v>201033.8</v>
      </c>
      <c r="G193" s="0" t="n">
        <v>14.219</v>
      </c>
      <c r="H193" s="0" t="n">
        <v>0.004</v>
      </c>
      <c r="I193" s="0" t="n">
        <v>206175.5</v>
      </c>
      <c r="J193" s="0" t="n">
        <v>5141.7</v>
      </c>
      <c r="K193" s="0" t="n">
        <v>0.0256</v>
      </c>
      <c r="L193" s="0" t="n">
        <v>0.1</v>
      </c>
      <c r="M193" s="0" t="n">
        <v>0.059</v>
      </c>
      <c r="N193" s="0" t="n">
        <v>-0.041</v>
      </c>
      <c r="O193" s="0" t="inlineStr">
        <is>
          <t>—</t>
        </is>
      </c>
    </row>
    <row r="194">
      <c r="A194" s="0" t="inlineStr">
        <is>
          <t>20260616</t>
        </is>
      </c>
      <c r="B194" s="0" t="inlineStr">
        <is>
          <t>10年国债ETF</t>
        </is>
      </c>
      <c r="C194" s="0" t="inlineStr">
        <is>
          <t>511260</t>
        </is>
      </c>
      <c r="D194" s="0" t="n">
        <v>3700</v>
      </c>
      <c r="E194" s="0" t="n">
        <v>135.645</v>
      </c>
      <c r="F194" s="0" t="n">
        <v>501886.5000000001</v>
      </c>
      <c r="G194" s="0" t="n">
        <v>135.838</v>
      </c>
      <c r="H194" s="0" t="n">
        <v>0.0012</v>
      </c>
      <c r="I194" s="0" t="n">
        <v>502600.6</v>
      </c>
      <c r="J194" s="0" t="n">
        <v>714.1</v>
      </c>
      <c r="K194" s="0" t="n">
        <v>0.0014</v>
      </c>
      <c r="L194" s="0" t="n">
        <v>0.1</v>
      </c>
      <c r="M194" s="0" t="n">
        <v>0.1437</v>
      </c>
      <c r="N194" s="0" t="n">
        <v>0.0437</v>
      </c>
      <c r="O194" s="0" t="inlineStr">
        <is>
          <t>—</t>
        </is>
      </c>
    </row>
    <row r="195">
      <c r="A195" s="0" t="inlineStr">
        <is>
          <t>20260616</t>
        </is>
      </c>
      <c r="B195" s="0" t="inlineStr">
        <is>
          <t>5年国债ETF</t>
        </is>
      </c>
      <c r="C195" s="0" t="inlineStr">
        <is>
          <t>511010</t>
        </is>
      </c>
      <c r="D195" s="0" t="n">
        <v>3500</v>
      </c>
      <c r="E195" s="0" t="n">
        <v>141.2121</v>
      </c>
      <c r="F195" s="0" t="n">
        <v>494242.35</v>
      </c>
      <c r="G195" s="0" t="n">
        <v>141.309</v>
      </c>
      <c r="H195" s="0" t="n">
        <v>0.0008</v>
      </c>
      <c r="I195" s="0" t="n">
        <v>494581.5</v>
      </c>
      <c r="J195" s="0" t="n">
        <v>339.15</v>
      </c>
      <c r="K195" s="0" t="n">
        <v>0.0007</v>
      </c>
      <c r="L195" s="0" t="n">
        <v>0.1</v>
      </c>
      <c r="M195" s="0" t="n">
        <v>0.1414</v>
      </c>
      <c r="N195" s="0" t="n">
        <v>0.0414</v>
      </c>
      <c r="O195" s="0" t="inlineStr">
        <is>
          <t>—</t>
        </is>
      </c>
    </row>
    <row r="196">
      <c r="A196" s="0" t="inlineStr">
        <is>
          <t>20260616</t>
        </is>
      </c>
      <c r="B196" s="0" t="inlineStr">
        <is>
          <t>短融ETF</t>
        </is>
      </c>
      <c r="C196" s="0" t="inlineStr">
        <is>
          <t>511360</t>
        </is>
      </c>
      <c r="D196" s="0" t="n">
        <v>2200</v>
      </c>
      <c r="E196" s="0" t="n">
        <v>113.462</v>
      </c>
      <c r="F196" s="0" t="n">
        <v>249616.4</v>
      </c>
      <c r="G196" s="0" t="n">
        <v>113.547</v>
      </c>
      <c r="I196" s="0" t="n">
        <v>249803.4</v>
      </c>
      <c r="J196" s="0" t="n">
        <v>187</v>
      </c>
      <c r="K196" s="0" t="n">
        <v>0.0007</v>
      </c>
      <c r="L196" s="0" t="n">
        <v>0.05</v>
      </c>
      <c r="M196" s="0" t="n">
        <v>0.07140000000000001</v>
      </c>
      <c r="N196" s="0" t="n">
        <v>0.0214</v>
      </c>
      <c r="O196" s="0" t="inlineStr">
        <is>
          <t>—</t>
        </is>
      </c>
    </row>
    <row r="197">
      <c r="A197" s="0" t="inlineStr">
        <is>
          <t>20260616</t>
        </is>
      </c>
      <c r="B197" s="0" t="inlineStr">
        <is>
          <t>黄金ETF</t>
        </is>
      </c>
      <c r="C197" s="0" t="inlineStr">
        <is>
          <t>518880</t>
        </is>
      </c>
      <c r="D197" s="0" t="n">
        <v>55800</v>
      </c>
      <c r="E197" s="0" t="n">
        <v>9.232699999999999</v>
      </c>
      <c r="F197" s="0" t="n">
        <v>515184.66</v>
      </c>
      <c r="G197" s="0" t="n">
        <v>8.949</v>
      </c>
      <c r="H197" s="0" t="n">
        <v>0.0024</v>
      </c>
      <c r="I197" s="0" t="n">
        <v>499354.2</v>
      </c>
      <c r="J197" s="0" t="n">
        <v>-15830.46</v>
      </c>
      <c r="K197" s="0" t="n">
        <v>-0.0307</v>
      </c>
      <c r="L197" s="0" t="n">
        <v>0.15</v>
      </c>
      <c r="M197" s="0" t="n">
        <v>0.1428</v>
      </c>
      <c r="N197" s="0" t="n">
        <v>-0.0072</v>
      </c>
      <c r="O197" s="0" t="inlineStr">
        <is>
          <t>—</t>
        </is>
      </c>
    </row>
    <row r="198">
      <c r="A198" s="0" t="inlineStr">
        <is>
          <t>20260616</t>
        </is>
      </c>
      <c r="B198" s="0" t="inlineStr">
        <is>
          <t>银华日利ETF</t>
        </is>
      </c>
      <c r="C198" s="0" t="inlineStr">
        <is>
          <t>511880</t>
        </is>
      </c>
      <c r="G198" s="0" t="n">
        <v>100.522</v>
      </c>
      <c r="I198" s="0" t="n">
        <v>0</v>
      </c>
      <c r="J198" s="0" t="n">
        <v>0</v>
      </c>
      <c r="K198" s="0" t="n">
        <v>0</v>
      </c>
      <c r="L198" s="0" t="n">
        <v>0.05</v>
      </c>
      <c r="M198" s="0" t="n">
        <v>0</v>
      </c>
      <c r="N198" s="0" t="n">
        <v>-0.05</v>
      </c>
      <c r="O198" s="0" t="inlineStr">
        <is>
          <t>—</t>
        </is>
      </c>
    </row>
    <row r="199">
      <c r="A199" s="0" t="inlineStr">
        <is>
          <t>20260616</t>
        </is>
      </c>
      <c r="B199" s="0" t="inlineStr">
        <is>
          <t>华宝添益ETF</t>
        </is>
      </c>
      <c r="C199" s="0" t="inlineStr">
        <is>
          <t>511990</t>
        </is>
      </c>
      <c r="G199" s="0" t="n">
        <v>99.996</v>
      </c>
      <c r="I199" s="0" t="n">
        <v>0</v>
      </c>
      <c r="J199" s="0" t="n">
        <v>0</v>
      </c>
      <c r="K199" s="0" t="n">
        <v>0</v>
      </c>
      <c r="L199" s="0" t="n">
        <v>0.05</v>
      </c>
      <c r="M199" s="0" t="n">
        <v>0</v>
      </c>
      <c r="N199" s="0" t="n">
        <v>-0.05</v>
      </c>
      <c r="O199" s="0" t="inlineStr">
        <is>
          <t>—</t>
        </is>
      </c>
    </row>
    <row r="200">
      <c r="A200" s="0" t="inlineStr">
        <is>
          <t>20260617</t>
        </is>
      </c>
      <c r="B200" s="0" t="inlineStr">
        <is>
          <t>沪深300ETF</t>
        </is>
      </c>
      <c r="C200" s="0" t="inlineStr">
        <is>
          <t>510300</t>
        </is>
      </c>
      <c r="D200" s="0" t="n">
        <v>153800</v>
      </c>
      <c r="E200" s="0" t="n">
        <v>4.885</v>
      </c>
      <c r="F200" s="0" t="n">
        <v>751313</v>
      </c>
      <c r="G200" s="0" t="n">
        <v>4.958</v>
      </c>
      <c r="H200" s="0" t="n">
        <v>0.0098</v>
      </c>
      <c r="I200" s="0" t="n">
        <v>762540.4</v>
      </c>
      <c r="J200" s="0" t="n">
        <v>11227.4</v>
      </c>
      <c r="K200" s="0" t="n">
        <v>0.0149</v>
      </c>
      <c r="L200" s="0" t="n">
        <v>0.15</v>
      </c>
      <c r="M200" s="0" t="n">
        <v>0.2169</v>
      </c>
      <c r="N200" s="0" t="n">
        <v>0.0669</v>
      </c>
      <c r="O200" s="0" t="inlineStr">
        <is>
          <t>—</t>
        </is>
      </c>
    </row>
    <row r="201">
      <c r="A201" s="0" t="inlineStr">
        <is>
          <t>20260617</t>
        </is>
      </c>
      <c r="B201" s="0" t="inlineStr">
        <is>
          <t>中证500ETF</t>
        </is>
      </c>
      <c r="C201" s="0" t="inlineStr">
        <is>
          <t>510500</t>
        </is>
      </c>
      <c r="D201" s="0" t="n">
        <v>20000</v>
      </c>
      <c r="E201" s="0" t="n">
        <v>8.696</v>
      </c>
      <c r="F201" s="0" t="n">
        <v>173920</v>
      </c>
      <c r="G201" s="0" t="n">
        <v>8.763</v>
      </c>
      <c r="H201" s="0" t="n">
        <v>0.0152</v>
      </c>
      <c r="I201" s="0" t="n">
        <v>175260</v>
      </c>
      <c r="J201" s="0" t="n">
        <v>1340</v>
      </c>
      <c r="K201" s="0" t="n">
        <v>0.0077</v>
      </c>
      <c r="L201" s="0" t="n">
        <v>0.1</v>
      </c>
      <c r="M201" s="0" t="n">
        <v>0.0499</v>
      </c>
      <c r="N201" s="0" t="n">
        <v>-0.0501</v>
      </c>
      <c r="O201" s="0" t="inlineStr">
        <is>
          <t>—</t>
        </is>
      </c>
    </row>
    <row r="202">
      <c r="A202" s="0" t="inlineStr">
        <is>
          <t>20260617</t>
        </is>
      </c>
      <c r="B202" s="0" t="inlineStr">
        <is>
          <t>科创50ETF</t>
        </is>
      </c>
      <c r="C202" s="0" t="inlineStr">
        <is>
          <t>588050</t>
        </is>
      </c>
      <c r="D202" s="0" t="n">
        <v>60000</v>
      </c>
      <c r="E202" s="0" t="n">
        <v>1.838</v>
      </c>
      <c r="F202" s="0" t="n">
        <v>110280</v>
      </c>
      <c r="G202" s="0" t="n">
        <v>1.883</v>
      </c>
      <c r="H202" s="0" t="n">
        <v>0.0467</v>
      </c>
      <c r="I202" s="0" t="n">
        <v>112980</v>
      </c>
      <c r="J202" s="0" t="n">
        <v>2700</v>
      </c>
      <c r="K202" s="0" t="n">
        <v>0.0245</v>
      </c>
      <c r="L202" s="0" t="n">
        <v>0.05</v>
      </c>
      <c r="M202" s="0" t="n">
        <v>0.0321</v>
      </c>
      <c r="N202" s="0" t="n">
        <v>-0.0179</v>
      </c>
      <c r="O202" s="0" t="inlineStr">
        <is>
          <t>—</t>
        </is>
      </c>
    </row>
    <row r="203">
      <c r="A203" s="0" t="inlineStr">
        <is>
          <t>20260617</t>
        </is>
      </c>
      <c r="B203" s="0" t="inlineStr">
        <is>
          <t>创业板ETF</t>
        </is>
      </c>
      <c r="C203" s="0" t="inlineStr">
        <is>
          <t>159915</t>
        </is>
      </c>
      <c r="D203" s="0" t="n">
        <v>63000</v>
      </c>
      <c r="E203" s="0" t="n">
        <v>3.968</v>
      </c>
      <c r="F203" s="0" t="n">
        <v>249984</v>
      </c>
      <c r="G203" s="0" t="n">
        <v>4.183</v>
      </c>
      <c r="H203" s="0" t="n">
        <v>0.0175</v>
      </c>
      <c r="I203" s="0" t="n">
        <v>263529</v>
      </c>
      <c r="J203" s="0" t="n">
        <v>13545</v>
      </c>
      <c r="K203" s="0" t="n">
        <v>0.0542</v>
      </c>
      <c r="L203" s="0" t="n">
        <v>0.05</v>
      </c>
      <c r="M203" s="0" t="n">
        <v>0.075</v>
      </c>
      <c r="N203" s="0" t="n">
        <v>0.025</v>
      </c>
      <c r="O203" s="0" t="inlineStr">
        <is>
          <t>—</t>
        </is>
      </c>
    </row>
    <row r="204">
      <c r="A204" s="0" t="inlineStr">
        <is>
          <t>20260617</t>
        </is>
      </c>
      <c r="B204" s="0" t="inlineStr">
        <is>
          <t>红利低波ETF</t>
        </is>
      </c>
      <c r="C204" s="0" t="inlineStr">
        <is>
          <t>512890</t>
        </is>
      </c>
      <c r="D204" s="0" t="n">
        <v>218000</v>
      </c>
      <c r="E204" s="0" t="n">
        <v>1.15</v>
      </c>
      <c r="F204" s="0" t="n">
        <v>250700</v>
      </c>
      <c r="G204" s="0" t="n">
        <v>1.14</v>
      </c>
      <c r="H204" s="0" t="n">
        <v>-0.0044</v>
      </c>
      <c r="I204" s="0" t="n">
        <v>248520</v>
      </c>
      <c r="J204" s="0" t="n">
        <v>-2180</v>
      </c>
      <c r="K204" s="0" t="n">
        <v>-0.008699999999999999</v>
      </c>
      <c r="L204" s="0" t="n">
        <v>0.05</v>
      </c>
      <c r="M204" s="0" t="n">
        <v>0.0707</v>
      </c>
      <c r="N204" s="0" t="n">
        <v>0.0207</v>
      </c>
      <c r="O204" s="0" t="inlineStr">
        <is>
          <t>—</t>
        </is>
      </c>
    </row>
    <row r="205">
      <c r="A205" s="0" t="inlineStr">
        <is>
          <t>20260617</t>
        </is>
      </c>
      <c r="B205" s="0" t="inlineStr">
        <is>
          <t>可转债ETF</t>
        </is>
      </c>
      <c r="C205" s="0" t="inlineStr">
        <is>
          <t>511380</t>
        </is>
      </c>
      <c r="D205" s="0" t="n">
        <v>14500</v>
      </c>
      <c r="E205" s="0" t="n">
        <v>13.8644</v>
      </c>
      <c r="F205" s="0" t="n">
        <v>201033.8</v>
      </c>
      <c r="G205" s="0" t="n">
        <v>14.158</v>
      </c>
      <c r="H205" s="0" t="n">
        <v>-0.0043</v>
      </c>
      <c r="I205" s="0" t="n">
        <v>205291</v>
      </c>
      <c r="J205" s="0" t="n">
        <v>4257.2</v>
      </c>
      <c r="K205" s="0" t="n">
        <v>0.0212</v>
      </c>
      <c r="L205" s="0" t="n">
        <v>0.1</v>
      </c>
      <c r="M205" s="0" t="n">
        <v>0.0584</v>
      </c>
      <c r="N205" s="0" t="n">
        <v>-0.0416</v>
      </c>
      <c r="O205" s="0" t="inlineStr">
        <is>
          <t>—</t>
        </is>
      </c>
    </row>
    <row r="206">
      <c r="A206" s="0" t="inlineStr">
        <is>
          <t>20260617</t>
        </is>
      </c>
      <c r="B206" s="0" t="inlineStr">
        <is>
          <t>10年国债ETF</t>
        </is>
      </c>
      <c r="C206" s="0" t="inlineStr">
        <is>
          <t>511260</t>
        </is>
      </c>
      <c r="D206" s="0" t="n">
        <v>3700</v>
      </c>
      <c r="E206" s="0" t="n">
        <v>135.645</v>
      </c>
      <c r="F206" s="0" t="n">
        <v>501886.5000000001</v>
      </c>
      <c r="G206" s="0" t="n">
        <v>135.971</v>
      </c>
      <c r="H206" s="0" t="n">
        <v>0.001</v>
      </c>
      <c r="I206" s="0" t="n">
        <v>503092.7</v>
      </c>
      <c r="J206" s="0" t="n">
        <v>1206.2</v>
      </c>
      <c r="K206" s="0" t="n">
        <v>0.0024</v>
      </c>
      <c r="L206" s="0" t="n">
        <v>0.1</v>
      </c>
      <c r="M206" s="0" t="n">
        <v>0.1431</v>
      </c>
      <c r="N206" s="0" t="n">
        <v>0.0431</v>
      </c>
      <c r="O206" s="0" t="inlineStr">
        <is>
          <t>—</t>
        </is>
      </c>
    </row>
    <row r="207">
      <c r="A207" s="0" t="inlineStr">
        <is>
          <t>20260617</t>
        </is>
      </c>
      <c r="B207" s="0" t="inlineStr">
        <is>
          <t>5年国债ETF</t>
        </is>
      </c>
      <c r="C207" s="0" t="inlineStr">
        <is>
          <t>511010</t>
        </is>
      </c>
      <c r="D207" s="0" t="n">
        <v>3500</v>
      </c>
      <c r="E207" s="0" t="n">
        <v>141.2121</v>
      </c>
      <c r="F207" s="0" t="n">
        <v>494242.35</v>
      </c>
      <c r="G207" s="0" t="n">
        <v>141.348</v>
      </c>
      <c r="H207" s="0" t="n">
        <v>0.0003</v>
      </c>
      <c r="I207" s="0" t="n">
        <v>494718.0000000001</v>
      </c>
      <c r="J207" s="0" t="n">
        <v>475.65</v>
      </c>
      <c r="K207" s="0" t="n">
        <v>0.001</v>
      </c>
      <c r="L207" s="0" t="n">
        <v>0.1</v>
      </c>
      <c r="M207" s="0" t="n">
        <v>0.1407</v>
      </c>
      <c r="N207" s="0" t="n">
        <v>0.0407</v>
      </c>
      <c r="O207" s="0" t="inlineStr">
        <is>
          <t>—</t>
        </is>
      </c>
    </row>
    <row r="208">
      <c r="A208" s="0" t="inlineStr">
        <is>
          <t>20260617</t>
        </is>
      </c>
      <c r="B208" s="0" t="inlineStr">
        <is>
          <t>短融ETF</t>
        </is>
      </c>
      <c r="C208" s="0" t="inlineStr">
        <is>
          <t>511360</t>
        </is>
      </c>
      <c r="D208" s="0" t="n">
        <v>2200</v>
      </c>
      <c r="E208" s="0" t="n">
        <v>113.462</v>
      </c>
      <c r="F208" s="0" t="n">
        <v>249616.4</v>
      </c>
      <c r="G208" s="0" t="n">
        <v>113.551</v>
      </c>
      <c r="I208" s="0" t="n">
        <v>249812.2</v>
      </c>
      <c r="J208" s="0" t="n">
        <v>195.8</v>
      </c>
      <c r="K208" s="0" t="n">
        <v>0.0008</v>
      </c>
      <c r="L208" s="0" t="n">
        <v>0.05</v>
      </c>
      <c r="M208" s="0" t="n">
        <v>0.0711</v>
      </c>
      <c r="N208" s="0" t="n">
        <v>0.0211</v>
      </c>
      <c r="O208" s="0" t="inlineStr">
        <is>
          <t>—</t>
        </is>
      </c>
    </row>
    <row r="209">
      <c r="A209" s="0" t="inlineStr">
        <is>
          <t>20260617</t>
        </is>
      </c>
      <c r="B209" s="0" t="inlineStr">
        <is>
          <t>黄金ETF</t>
        </is>
      </c>
      <c r="C209" s="0" t="inlineStr">
        <is>
          <t>518880</t>
        </is>
      </c>
      <c r="D209" s="0" t="n">
        <v>55800</v>
      </c>
      <c r="E209" s="0" t="n">
        <v>9.232699999999999</v>
      </c>
      <c r="F209" s="0" t="n">
        <v>515184.66</v>
      </c>
      <c r="G209" s="0" t="n">
        <v>8.957000000000001</v>
      </c>
      <c r="H209" s="0" t="n">
        <v>0.0009</v>
      </c>
      <c r="I209" s="0" t="n">
        <v>499800.6</v>
      </c>
      <c r="J209" s="0" t="n">
        <v>-15384.06</v>
      </c>
      <c r="K209" s="0" t="n">
        <v>-0.0299</v>
      </c>
      <c r="L209" s="0" t="n">
        <v>0.15</v>
      </c>
      <c r="M209" s="0" t="n">
        <v>0.1422</v>
      </c>
      <c r="N209" s="0" t="n">
        <v>-0.0078</v>
      </c>
      <c r="O209" s="0" t="inlineStr">
        <is>
          <t>—</t>
        </is>
      </c>
    </row>
    <row r="210">
      <c r="A210" s="0" t="inlineStr">
        <is>
          <t>20260617</t>
        </is>
      </c>
      <c r="B210" s="0" t="inlineStr">
        <is>
          <t>银华日利ETF</t>
        </is>
      </c>
      <c r="C210" s="0" t="inlineStr">
        <is>
          <t>511880</t>
        </is>
      </c>
      <c r="G210" s="0" t="n">
        <v>100.524</v>
      </c>
      <c r="I210" s="0" t="n">
        <v>0</v>
      </c>
      <c r="J210" s="0" t="n">
        <v>0</v>
      </c>
      <c r="K210" s="0" t="n">
        <v>0</v>
      </c>
      <c r="L210" s="0" t="n">
        <v>0.05</v>
      </c>
      <c r="M210" s="0" t="n">
        <v>0</v>
      </c>
      <c r="N210" s="0" t="n">
        <v>-0.05</v>
      </c>
      <c r="O210" s="0" t="inlineStr">
        <is>
          <t>—</t>
        </is>
      </c>
    </row>
    <row r="211">
      <c r="A211" s="0" t="inlineStr">
        <is>
          <t>20260617</t>
        </is>
      </c>
      <c r="B211" s="0" t="inlineStr">
        <is>
          <t>华宝添益ETF</t>
        </is>
      </c>
      <c r="C211" s="0" t="inlineStr">
        <is>
          <t>511990</t>
        </is>
      </c>
      <c r="G211" s="0" t="n">
        <v>99.996</v>
      </c>
      <c r="I211" s="0" t="n">
        <v>0</v>
      </c>
      <c r="J211" s="0" t="n">
        <v>0</v>
      </c>
      <c r="K211" s="0" t="n">
        <v>0</v>
      </c>
      <c r="L211" s="0" t="n">
        <v>0.05</v>
      </c>
      <c r="M211" s="0" t="n">
        <v>0</v>
      </c>
      <c r="N211" s="0" t="n">
        <v>-0.05</v>
      </c>
      <c r="O211" s="0" t="inlineStr">
        <is>
          <t>—</t>
        </is>
      </c>
    </row>
    <row r="212">
      <c r="A212" t="inlineStr">
        <is>
          <t>20260618</t>
        </is>
      </c>
      <c r="B212" t="inlineStr">
        <is>
          <t>沪深300ETF</t>
        </is>
      </c>
      <c r="C212" t="inlineStr">
        <is>
          <t>510300</t>
        </is>
      </c>
      <c r="D212" t="n">
        <v>153800</v>
      </c>
      <c r="E212" t="n">
        <v>4.885</v>
      </c>
      <c r="F212" t="n">
        <v>751313</v>
      </c>
      <c r="G212" t="n">
        <v>4.984</v>
      </c>
      <c r="H212" t="n">
        <v>0.0052</v>
      </c>
      <c r="I212" t="n">
        <v>766539.2</v>
      </c>
      <c r="J212" t="n">
        <v>15226.2</v>
      </c>
      <c r="K212" t="n">
        <v>0.0203</v>
      </c>
      <c r="L212" t="n">
        <v>0.15</v>
      </c>
      <c r="M212" t="n">
        <v>0.2177</v>
      </c>
      <c r="N212" t="n">
        <v>0.0677</v>
      </c>
      <c r="O212" t="inlineStr">
        <is>
          <t>📊权重预警偏离+6.8%</t>
        </is>
      </c>
    </row>
    <row r="213">
      <c r="A213" t="inlineStr">
        <is>
          <t>20260618</t>
        </is>
      </c>
      <c r="B213" t="inlineStr">
        <is>
          <t>中证500ETF</t>
        </is>
      </c>
      <c r="C213" t="inlineStr">
        <is>
          <t>510500</t>
        </is>
      </c>
      <c r="D213" t="n">
        <v>20000</v>
      </c>
      <c r="E213" t="n">
        <v>8.696</v>
      </c>
      <c r="F213" t="n">
        <v>173920</v>
      </c>
      <c r="G213" t="n">
        <v>8.827999999999999</v>
      </c>
      <c r="H213" t="n">
        <v>0.0074</v>
      </c>
      <c r="I213" t="n">
        <v>176560</v>
      </c>
      <c r="J213" t="n">
        <v>2640</v>
      </c>
      <c r="K213" t="n">
        <v>0.0152</v>
      </c>
      <c r="L213" t="n">
        <v>0.1</v>
      </c>
      <c r="M213" t="n">
        <v>0.0501</v>
      </c>
      <c r="N213" t="n">
        <v>-0.0499</v>
      </c>
      <c r="O213" t="inlineStr">
        <is>
          <t>📊权重预警偏离-5.0%</t>
        </is>
      </c>
    </row>
    <row r="214">
      <c r="A214" t="inlineStr">
        <is>
          <t>20260618</t>
        </is>
      </c>
      <c r="B214" t="inlineStr">
        <is>
          <t>科创50ETF</t>
        </is>
      </c>
      <c r="C214" t="inlineStr">
        <is>
          <t>588050</t>
        </is>
      </c>
      <c r="D214" t="n">
        <v>60000</v>
      </c>
      <c r="E214" t="n">
        <v>1.838</v>
      </c>
      <c r="F214" t="n">
        <v>110280</v>
      </c>
      <c r="G214" t="n">
        <v>1.958</v>
      </c>
      <c r="H214" t="n">
        <v>0.0398</v>
      </c>
      <c r="I214" t="n">
        <v>117480</v>
      </c>
      <c r="J214" t="n">
        <v>7200</v>
      </c>
      <c r="K214" t="n">
        <v>0.0653</v>
      </c>
      <c r="L214" t="n">
        <v>0.05</v>
      </c>
      <c r="M214" t="n">
        <v>0.0334</v>
      </c>
      <c r="N214" t="n">
        <v>-0.0166</v>
      </c>
      <c r="O214" t="inlineStr">
        <is>
          <t>—</t>
        </is>
      </c>
    </row>
    <row r="215">
      <c r="A215" t="inlineStr">
        <is>
          <t>20260618</t>
        </is>
      </c>
      <c r="B215" t="inlineStr">
        <is>
          <t>创业板ETF</t>
        </is>
      </c>
      <c r="C215" t="inlineStr">
        <is>
          <t>159915</t>
        </is>
      </c>
      <c r="D215" t="n">
        <v>63000</v>
      </c>
      <c r="E215" t="n">
        <v>3.968</v>
      </c>
      <c r="F215" t="n">
        <v>249984</v>
      </c>
      <c r="G215" t="n">
        <v>4.269</v>
      </c>
      <c r="H215" t="n">
        <v>0.0206</v>
      </c>
      <c r="I215" t="n">
        <v>268947</v>
      </c>
      <c r="J215" t="n">
        <v>18963</v>
      </c>
      <c r="K215" t="n">
        <v>0.0759</v>
      </c>
      <c r="L215" t="n">
        <v>0.05</v>
      </c>
      <c r="M215" t="n">
        <v>0.0764</v>
      </c>
      <c r="N215" t="n">
        <v>0.0264</v>
      </c>
      <c r="O215" t="inlineStr">
        <is>
          <t>🟢止盈第一档：浮盈7.6% &gt;= 7%，减仓20%</t>
        </is>
      </c>
    </row>
    <row r="216">
      <c r="A216" t="inlineStr">
        <is>
          <t>20260618</t>
        </is>
      </c>
      <c r="B216" t="inlineStr">
        <is>
          <t>红利低波ETF</t>
        </is>
      </c>
      <c r="C216" t="inlineStr">
        <is>
          <t>512890</t>
        </is>
      </c>
      <c r="D216" t="n">
        <v>218000</v>
      </c>
      <c r="E216" t="n">
        <v>1.15</v>
      </c>
      <c r="F216" t="n">
        <v>250700</v>
      </c>
      <c r="G216" t="n">
        <v>1.115</v>
      </c>
      <c r="H216" t="n">
        <v>-0.0219</v>
      </c>
      <c r="I216" t="n">
        <v>243070</v>
      </c>
      <c r="J216" t="n">
        <v>-7630</v>
      </c>
      <c r="K216" t="n">
        <v>-0.0304</v>
      </c>
      <c r="L216" t="n">
        <v>0.05</v>
      </c>
      <c r="M216" t="n">
        <v>0.06900000000000001</v>
      </c>
      <c r="N216" t="n">
        <v>0.019</v>
      </c>
      <c r="O216" t="inlineStr">
        <is>
          <t>—</t>
        </is>
      </c>
    </row>
    <row r="217">
      <c r="A217" t="inlineStr">
        <is>
          <t>20260618</t>
        </is>
      </c>
      <c r="B217" t="inlineStr">
        <is>
          <t>可转债ETF</t>
        </is>
      </c>
      <c r="C217" t="inlineStr">
        <is>
          <t>511380</t>
        </is>
      </c>
      <c r="D217" t="n">
        <v>14500</v>
      </c>
      <c r="E217" t="n">
        <v>13.8644</v>
      </c>
      <c r="F217" t="n">
        <v>201033.8</v>
      </c>
      <c r="G217" t="n">
        <v>14.067</v>
      </c>
      <c r="H217" t="n">
        <v>-0.0064</v>
      </c>
      <c r="I217" t="n">
        <v>203971.5</v>
      </c>
      <c r="J217" t="n">
        <v>2937.7</v>
      </c>
      <c r="K217" t="n">
        <v>0.0146</v>
      </c>
      <c r="L217" t="n">
        <v>0.1</v>
      </c>
      <c r="M217" t="n">
        <v>0.0579</v>
      </c>
      <c r="N217" t="n">
        <v>-0.0421</v>
      </c>
      <c r="O217" t="inlineStr">
        <is>
          <t>📊权重预警偏离-4.2%</t>
        </is>
      </c>
    </row>
    <row r="218">
      <c r="A218" t="inlineStr">
        <is>
          <t>20260618</t>
        </is>
      </c>
      <c r="B218" t="inlineStr">
        <is>
          <t>10年国债ETF</t>
        </is>
      </c>
      <c r="C218" t="inlineStr">
        <is>
          <t>511260</t>
        </is>
      </c>
      <c r="D218" t="n">
        <v>3700</v>
      </c>
      <c r="E218" t="n">
        <v>135.645</v>
      </c>
      <c r="F218" t="n">
        <v>501886.5</v>
      </c>
      <c r="G218" t="n">
        <v>135.984</v>
      </c>
      <c r="H218" t="n">
        <v>0.0001</v>
      </c>
      <c r="I218" t="n">
        <v>503140.8</v>
      </c>
      <c r="J218" t="n">
        <v>1254.3</v>
      </c>
      <c r="K218" t="n">
        <v>0.0025</v>
      </c>
      <c r="L218" t="n">
        <v>0.1</v>
      </c>
      <c r="M218" t="n">
        <v>0.1429</v>
      </c>
      <c r="N218" t="n">
        <v>0.0429</v>
      </c>
      <c r="O218" t="inlineStr">
        <is>
          <t>📊权重预警偏离+4.3%</t>
        </is>
      </c>
    </row>
    <row r="219">
      <c r="A219" t="inlineStr">
        <is>
          <t>20260618</t>
        </is>
      </c>
      <c r="B219" t="inlineStr">
        <is>
          <t>5年国债ETF</t>
        </is>
      </c>
      <c r="C219" t="inlineStr">
        <is>
          <t>511010</t>
        </is>
      </c>
      <c r="D219" t="n">
        <v>3500</v>
      </c>
      <c r="E219" t="n">
        <v>141.2121</v>
      </c>
      <c r="F219" t="n">
        <v>494242.35</v>
      </c>
      <c r="G219" t="n">
        <v>141.431</v>
      </c>
      <c r="H219" t="n">
        <v>0.0005999999999999999</v>
      </c>
      <c r="I219" t="n">
        <v>495008.5</v>
      </c>
      <c r="J219" t="n">
        <v>766.15</v>
      </c>
      <c r="K219" t="n">
        <v>0.0016</v>
      </c>
      <c r="L219" t="n">
        <v>0.1</v>
      </c>
      <c r="M219" t="n">
        <v>0.1406</v>
      </c>
      <c r="N219" t="n">
        <v>0.0406</v>
      </c>
      <c r="O219" t="inlineStr">
        <is>
          <t>📊权重预警偏离+4.1%</t>
        </is>
      </c>
    </row>
    <row r="220">
      <c r="A220" t="inlineStr">
        <is>
          <t>20260618</t>
        </is>
      </c>
      <c r="B220" t="inlineStr">
        <is>
          <t>短融ETF</t>
        </is>
      </c>
      <c r="C220" t="inlineStr">
        <is>
          <t>511360</t>
        </is>
      </c>
      <c r="D220" t="n">
        <v>2200</v>
      </c>
      <c r="E220" t="n">
        <v>113.462</v>
      </c>
      <c r="F220" t="n">
        <v>249616.4</v>
      </c>
      <c r="G220" t="n">
        <v>113.557</v>
      </c>
      <c r="H220" t="n">
        <v>0.0001</v>
      </c>
      <c r="I220" t="n">
        <v>249825.4</v>
      </c>
      <c r="J220" t="n">
        <v>209</v>
      </c>
      <c r="K220" t="n">
        <v>0.0008</v>
      </c>
      <c r="L220" t="n">
        <v>0.05</v>
      </c>
      <c r="M220" t="n">
        <v>0.0709</v>
      </c>
      <c r="N220" t="n">
        <v>0.0209</v>
      </c>
      <c r="O220" t="inlineStr">
        <is>
          <t>—</t>
        </is>
      </c>
    </row>
    <row r="221">
      <c r="A221" t="inlineStr">
        <is>
          <t>20260618</t>
        </is>
      </c>
      <c r="B221" t="inlineStr">
        <is>
          <t>黄金ETF</t>
        </is>
      </c>
      <c r="C221" t="inlineStr">
        <is>
          <t>518880</t>
        </is>
      </c>
      <c r="D221" t="n">
        <v>55800</v>
      </c>
      <c r="E221" t="n">
        <v>9.232699999999999</v>
      </c>
      <c r="F221" t="n">
        <v>515184.66</v>
      </c>
      <c r="G221" t="n">
        <v>8.907999999999999</v>
      </c>
      <c r="H221" t="n">
        <v>-0.0055</v>
      </c>
      <c r="I221" t="n">
        <v>497066.4</v>
      </c>
      <c r="J221" t="n">
        <v>-18118.26</v>
      </c>
      <c r="K221" t="n">
        <v>-0.0352</v>
      </c>
      <c r="L221" t="n">
        <v>0.15</v>
      </c>
      <c r="M221" t="n">
        <v>0.1411</v>
      </c>
      <c r="N221" t="n">
        <v>-0.0089</v>
      </c>
      <c r="O221" t="inlineStr">
        <is>
          <t>—</t>
        </is>
      </c>
    </row>
    <row r="222">
      <c r="A222" t="inlineStr">
        <is>
          <t>20260618</t>
        </is>
      </c>
      <c r="B222" t="inlineStr">
        <is>
          <t>银华日利ETF</t>
        </is>
      </c>
      <c r="C222" t="inlineStr">
        <is>
          <t>511880</t>
        </is>
      </c>
      <c r="G222" t="n">
        <v>100.533</v>
      </c>
      <c r="H222" t="n">
        <v>0.0001</v>
      </c>
      <c r="I222" t="n">
        <v>0</v>
      </c>
      <c r="J222" t="n">
        <v>0</v>
      </c>
      <c r="K222" t="n">
        <v>0</v>
      </c>
      <c r="L222" t="n">
        <v>0.05</v>
      </c>
      <c r="M222" t="n">
        <v>0</v>
      </c>
      <c r="N222" t="n">
        <v>-0.05</v>
      </c>
      <c r="O222" t="inlineStr">
        <is>
          <t>📊权重预警偏离-5.0%</t>
        </is>
      </c>
    </row>
    <row r="223">
      <c r="A223" t="inlineStr">
        <is>
          <t>20260618</t>
        </is>
      </c>
      <c r="B223" t="inlineStr">
        <is>
          <t>华宝添益ETF</t>
        </is>
      </c>
      <c r="C223" t="inlineStr">
        <is>
          <t>511990</t>
        </is>
      </c>
      <c r="G223" t="n">
        <v>100</v>
      </c>
      <c r="I223" t="n">
        <v>0</v>
      </c>
      <c r="J223" t="n">
        <v>0</v>
      </c>
      <c r="K223" t="n">
        <v>0</v>
      </c>
      <c r="L223" t="n">
        <v>0.05</v>
      </c>
      <c r="M223" t="n">
        <v>0</v>
      </c>
      <c r="N223" t="n">
        <v>-0.05</v>
      </c>
      <c r="O223" t="inlineStr">
        <is>
          <t>📊权重预警偏离-5.0%</t>
        </is>
      </c>
    </row>
    <row r="224">
      <c r="A224" t="inlineStr">
        <is>
          <t>20260605</t>
        </is>
      </c>
      <c r="B224" t="inlineStr">
        <is>
          <t>沪深300ETF</t>
        </is>
      </c>
      <c r="C224" t="inlineStr">
        <is>
          <t>510300</t>
        </is>
      </c>
      <c r="D224" t="n">
        <v>153800</v>
      </c>
      <c r="E224" t="n">
        <v>4.885</v>
      </c>
      <c r="F224" t="n">
        <v>751313</v>
      </c>
      <c r="G224" t="n">
        <v>4.843</v>
      </c>
      <c r="H224" t="n">
        <v>-0.0169</v>
      </c>
      <c r="I224" t="n">
        <v>744853.4</v>
      </c>
      <c r="J224" t="n">
        <v>-6459.6</v>
      </c>
      <c r="K224" t="n">
        <v>-0.0086</v>
      </c>
      <c r="L224" t="n">
        <v>0.15</v>
      </c>
      <c r="M224" t="n">
        <v>0.2137</v>
      </c>
      <c r="N224" t="n">
        <v>0.06370000000000001</v>
      </c>
      <c r="O224" t="inlineStr">
        <is>
          <t>—</t>
        </is>
      </c>
    </row>
    <row r="225">
      <c r="A225" t="inlineStr">
        <is>
          <t>20260605</t>
        </is>
      </c>
      <c r="B225" t="inlineStr">
        <is>
          <t>中证500ETF</t>
        </is>
      </c>
      <c r="C225" t="inlineStr">
        <is>
          <t>510500</t>
        </is>
      </c>
      <c r="D225" t="n">
        <v>20000</v>
      </c>
      <c r="E225" t="n">
        <v>8.696</v>
      </c>
      <c r="F225" t="n">
        <v>173920</v>
      </c>
      <c r="G225" t="n">
        <v>8.339</v>
      </c>
      <c r="H225" t="n">
        <v>-0.0129</v>
      </c>
      <c r="I225" t="n">
        <v>166780</v>
      </c>
      <c r="J225" t="n">
        <v>-7140</v>
      </c>
      <c r="K225" t="n">
        <v>-0.0411</v>
      </c>
      <c r="L225" t="n">
        <v>0.1</v>
      </c>
      <c r="M225" t="n">
        <v>0.0479</v>
      </c>
      <c r="N225" t="n">
        <v>-0.0521</v>
      </c>
      <c r="O225" t="inlineStr">
        <is>
          <t>—</t>
        </is>
      </c>
    </row>
    <row r="226">
      <c r="A226" t="inlineStr">
        <is>
          <t>20260605</t>
        </is>
      </c>
      <c r="B226" t="inlineStr">
        <is>
          <t>科创50ETF</t>
        </is>
      </c>
      <c r="C226" t="inlineStr">
        <is>
          <t>588050</t>
        </is>
      </c>
      <c r="D226" t="n">
        <v>60000</v>
      </c>
      <c r="E226" t="n">
        <v>1.838</v>
      </c>
      <c r="F226" t="n">
        <v>110280</v>
      </c>
      <c r="G226" t="n">
        <v>1.714</v>
      </c>
      <c r="H226" t="n">
        <v>-0.0387</v>
      </c>
      <c r="I226" t="n">
        <v>102840</v>
      </c>
      <c r="J226" t="n">
        <v>-7440</v>
      </c>
      <c r="K226" t="n">
        <v>-0.0675</v>
      </c>
      <c r="L226" t="n">
        <v>0.05</v>
      </c>
      <c r="M226" t="n">
        <v>0.0295</v>
      </c>
      <c r="N226" t="n">
        <v>-0.0205</v>
      </c>
      <c r="O226" t="inlineStr">
        <is>
          <t>—</t>
        </is>
      </c>
    </row>
    <row r="227">
      <c r="A227" t="inlineStr">
        <is>
          <t>20260605</t>
        </is>
      </c>
      <c r="B227" t="inlineStr">
        <is>
          <t>创业板ETF</t>
        </is>
      </c>
      <c r="C227" t="inlineStr">
        <is>
          <t>159915</t>
        </is>
      </c>
      <c r="D227" t="n">
        <v>63000</v>
      </c>
      <c r="E227" t="n">
        <v>3.968</v>
      </c>
      <c r="F227" t="n">
        <v>249984</v>
      </c>
      <c r="G227" t="n">
        <v>3.977</v>
      </c>
      <c r="H227" t="n">
        <v>-0.03</v>
      </c>
      <c r="I227" t="n">
        <v>250551</v>
      </c>
      <c r="J227" t="n">
        <v>567</v>
      </c>
      <c r="K227" t="n">
        <v>0.0023</v>
      </c>
      <c r="L227" t="n">
        <v>0.05</v>
      </c>
      <c r="M227" t="n">
        <v>0.07190000000000001</v>
      </c>
      <c r="N227" t="n">
        <v>0.0219</v>
      </c>
      <c r="O227" t="inlineStr">
        <is>
          <t>—</t>
        </is>
      </c>
    </row>
    <row r="228">
      <c r="A228" t="inlineStr">
        <is>
          <t>20260605</t>
        </is>
      </c>
      <c r="B228" t="inlineStr">
        <is>
          <t>红利低波ETF</t>
        </is>
      </c>
      <c r="C228" t="inlineStr">
        <is>
          <t>512890</t>
        </is>
      </c>
      <c r="D228" t="n">
        <v>218000</v>
      </c>
      <c r="E228" t="n">
        <v>1.15</v>
      </c>
      <c r="F228" t="n">
        <v>250700</v>
      </c>
      <c r="G228" t="n">
        <v>1.159</v>
      </c>
      <c r="H228" t="n">
        <v>0.0009</v>
      </c>
      <c r="I228" t="n">
        <v>252662</v>
      </c>
      <c r="J228" t="n">
        <v>1962</v>
      </c>
      <c r="K228" t="n">
        <v>0.0078</v>
      </c>
      <c r="L228" t="n">
        <v>0.05</v>
      </c>
      <c r="M228" t="n">
        <v>0.0725</v>
      </c>
      <c r="N228" t="n">
        <v>0.0225</v>
      </c>
      <c r="O228" t="inlineStr">
        <is>
          <t>—</t>
        </is>
      </c>
    </row>
    <row r="229">
      <c r="A229" t="inlineStr">
        <is>
          <t>20260605</t>
        </is>
      </c>
      <c r="B229" t="inlineStr">
        <is>
          <t>可转债ETF</t>
        </is>
      </c>
      <c r="C229" t="inlineStr">
        <is>
          <t>511380</t>
        </is>
      </c>
      <c r="D229" t="n">
        <v>14500</v>
      </c>
      <c r="E229" t="n">
        <v>13.8644</v>
      </c>
      <c r="F229" t="n">
        <v>201033.8</v>
      </c>
      <c r="G229" t="n">
        <v>13.948</v>
      </c>
      <c r="H229" t="n">
        <v>-0.0036</v>
      </c>
      <c r="I229" t="n">
        <v>202246</v>
      </c>
      <c r="J229" t="n">
        <v>1212.2</v>
      </c>
      <c r="K229" t="n">
        <v>0.006</v>
      </c>
      <c r="L229" t="n">
        <v>0.1</v>
      </c>
      <c r="M229" t="n">
        <v>0.058</v>
      </c>
      <c r="N229" t="n">
        <v>-0.042</v>
      </c>
      <c r="O229" t="inlineStr">
        <is>
          <t>—</t>
        </is>
      </c>
    </row>
    <row r="230">
      <c r="A230" t="inlineStr">
        <is>
          <t>20260605</t>
        </is>
      </c>
      <c r="B230" t="inlineStr">
        <is>
          <t>10年国债ETF</t>
        </is>
      </c>
      <c r="C230" t="inlineStr">
        <is>
          <t>511260</t>
        </is>
      </c>
      <c r="D230" t="n">
        <v>3700</v>
      </c>
      <c r="E230" t="n">
        <v>135.645</v>
      </c>
      <c r="F230" t="n">
        <v>501886.5000000001</v>
      </c>
      <c r="G230" t="n">
        <v>136.071</v>
      </c>
      <c r="H230" t="n">
        <v>-0.0005</v>
      </c>
      <c r="I230" t="n">
        <v>503462.7</v>
      </c>
      <c r="J230" t="n">
        <v>1576.2</v>
      </c>
      <c r="K230" t="n">
        <v>0.0031</v>
      </c>
      <c r="L230" t="n">
        <v>0.1</v>
      </c>
      <c r="M230" t="n">
        <v>0.1445</v>
      </c>
      <c r="N230" t="n">
        <v>0.0445</v>
      </c>
      <c r="O230" t="inlineStr">
        <is>
          <t>—</t>
        </is>
      </c>
    </row>
    <row r="231">
      <c r="A231" t="inlineStr">
        <is>
          <t>20260605</t>
        </is>
      </c>
      <c r="B231" t="inlineStr">
        <is>
          <t>5年国债ETF</t>
        </is>
      </c>
      <c r="C231" t="inlineStr">
        <is>
          <t>511010</t>
        </is>
      </c>
      <c r="D231" t="n">
        <v>3500</v>
      </c>
      <c r="E231" t="n">
        <v>141.2121</v>
      </c>
      <c r="F231" t="n">
        <v>494242.35</v>
      </c>
      <c r="G231" t="n">
        <v>141.5</v>
      </c>
      <c r="I231" t="n">
        <v>495250</v>
      </c>
      <c r="J231" t="n">
        <v>1007.65</v>
      </c>
      <c r="K231" t="n">
        <v>0.002</v>
      </c>
      <c r="L231" t="n">
        <v>0.1</v>
      </c>
      <c r="M231" t="n">
        <v>0.1421</v>
      </c>
      <c r="N231" t="n">
        <v>0.0421</v>
      </c>
      <c r="O231" t="inlineStr">
        <is>
          <t>—</t>
        </is>
      </c>
    </row>
    <row r="232">
      <c r="A232" t="inlineStr">
        <is>
          <t>20260605</t>
        </is>
      </c>
      <c r="B232" t="inlineStr">
        <is>
          <t>短融ETF</t>
        </is>
      </c>
      <c r="C232" t="inlineStr">
        <is>
          <t>511360</t>
        </is>
      </c>
      <c r="D232" t="n">
        <v>2200</v>
      </c>
      <c r="E232" t="n">
        <v>113.462</v>
      </c>
      <c r="F232" t="n">
        <v>249616.4</v>
      </c>
      <c r="G232" t="n">
        <v>113.551</v>
      </c>
      <c r="H232" t="n">
        <v>0.0001</v>
      </c>
      <c r="I232" t="n">
        <v>249812.2</v>
      </c>
      <c r="J232" t="n">
        <v>195.8</v>
      </c>
      <c r="K232" t="n">
        <v>0.0008</v>
      </c>
      <c r="L232" t="n">
        <v>0.05</v>
      </c>
      <c r="M232" t="n">
        <v>0.0717</v>
      </c>
      <c r="N232" t="n">
        <v>0.0217</v>
      </c>
      <c r="O232" t="inlineStr">
        <is>
          <t>—</t>
        </is>
      </c>
    </row>
    <row r="233">
      <c r="A233" t="inlineStr">
        <is>
          <t>20260605</t>
        </is>
      </c>
      <c r="B233" t="inlineStr">
        <is>
          <t>黄金ETF</t>
        </is>
      </c>
      <c r="C233" t="inlineStr">
        <is>
          <t>518880</t>
        </is>
      </c>
      <c r="D233" t="n">
        <v>55800</v>
      </c>
      <c r="E233" t="n">
        <v>9.232699999999999</v>
      </c>
      <c r="F233" t="n">
        <v>515184.66</v>
      </c>
      <c r="G233" t="n">
        <v>9.252000000000001</v>
      </c>
      <c r="H233" t="n">
        <v>-0.0041</v>
      </c>
      <c r="I233" t="n">
        <v>516261.6</v>
      </c>
      <c r="J233" t="n">
        <v>1076.94</v>
      </c>
      <c r="K233" t="n">
        <v>0.0021</v>
      </c>
      <c r="L233" t="n">
        <v>0.15</v>
      </c>
      <c r="M233" t="n">
        <v>0.1482</v>
      </c>
      <c r="N233" t="n">
        <v>-0.0018</v>
      </c>
      <c r="O233" t="inlineStr">
        <is>
          <t>—</t>
        </is>
      </c>
    </row>
    <row r="234">
      <c r="A234" t="inlineStr">
        <is>
          <t>20260605</t>
        </is>
      </c>
      <c r="B234" t="inlineStr">
        <is>
          <t>银华日利ETF</t>
        </is>
      </c>
      <c r="C234" t="inlineStr">
        <is>
          <t>511880</t>
        </is>
      </c>
      <c r="G234" t="n">
        <v>100.523</v>
      </c>
      <c r="H234" t="n">
        <v>0.0001</v>
      </c>
      <c r="I234" t="n">
        <v>0</v>
      </c>
      <c r="J234" t="n">
        <v>0</v>
      </c>
      <c r="K234" t="n">
        <v>0</v>
      </c>
      <c r="L234" t="n">
        <v>0.05</v>
      </c>
      <c r="M234" t="n">
        <v>0</v>
      </c>
      <c r="N234" t="n">
        <v>-0.05</v>
      </c>
      <c r="O234" t="inlineStr">
        <is>
          <t>—</t>
        </is>
      </c>
    </row>
    <row r="235">
      <c r="A235" t="inlineStr">
        <is>
          <t>20260605</t>
        </is>
      </c>
      <c r="B235" t="inlineStr">
        <is>
          <t>华宝添益ETF</t>
        </is>
      </c>
      <c r="C235" t="inlineStr">
        <is>
          <t>511990</t>
        </is>
      </c>
      <c r="G235" t="n">
        <v>100.007</v>
      </c>
      <c r="H235" t="n">
        <v>0.0001</v>
      </c>
      <c r="I235" t="n">
        <v>0</v>
      </c>
      <c r="J235" t="n">
        <v>0</v>
      </c>
      <c r="K235" t="n">
        <v>0</v>
      </c>
      <c r="L235" t="n">
        <v>0.05</v>
      </c>
      <c r="M235" t="n">
        <v>0</v>
      </c>
      <c r="N235" t="n">
        <v>-0.05</v>
      </c>
      <c r="O235" t="inlineStr">
        <is>
          <t>—</t>
        </is>
      </c>
    </row>
    <row r="236">
      <c r="A236" t="inlineStr">
        <is>
          <t>20260608</t>
        </is>
      </c>
      <c r="B236" t="inlineStr">
        <is>
          <t>沪深300ETF</t>
        </is>
      </c>
      <c r="C236" t="inlineStr">
        <is>
          <t>510300</t>
        </is>
      </c>
      <c r="D236" t="n">
        <v>153800</v>
      </c>
      <c r="E236" t="n">
        <v>4.885</v>
      </c>
      <c r="F236" t="n">
        <v>751313</v>
      </c>
      <c r="G236" t="n">
        <v>4.739</v>
      </c>
      <c r="H236" t="n">
        <v>-0.0215</v>
      </c>
      <c r="I236" t="n">
        <v>728858.2</v>
      </c>
      <c r="J236" t="n">
        <v>-22454.8</v>
      </c>
      <c r="K236" t="n">
        <v>-0.0299</v>
      </c>
      <c r="L236" t="n">
        <v>0.15</v>
      </c>
      <c r="M236" t="n">
        <v>0.2124</v>
      </c>
      <c r="N236" t="n">
        <v>0.0624</v>
      </c>
      <c r="O236" t="inlineStr">
        <is>
          <t>—</t>
        </is>
      </c>
    </row>
    <row r="237">
      <c r="A237" t="inlineStr">
        <is>
          <t>20260608</t>
        </is>
      </c>
      <c r="B237" t="inlineStr">
        <is>
          <t>中证500ETF</t>
        </is>
      </c>
      <c r="C237" t="inlineStr">
        <is>
          <t>510500</t>
        </is>
      </c>
      <c r="D237" t="n">
        <v>20000</v>
      </c>
      <c r="E237" t="n">
        <v>8.696</v>
      </c>
      <c r="F237" t="n">
        <v>173920</v>
      </c>
      <c r="G237" t="n">
        <v>8.068</v>
      </c>
      <c r="H237" t="n">
        <v>-0.0325</v>
      </c>
      <c r="I237" t="n">
        <v>161360</v>
      </c>
      <c r="J237" t="n">
        <v>-12560</v>
      </c>
      <c r="K237" t="n">
        <v>-0.0722</v>
      </c>
      <c r="L237" t="n">
        <v>0.1</v>
      </c>
      <c r="M237" t="n">
        <v>0.047</v>
      </c>
      <c r="N237" t="n">
        <v>-0.053</v>
      </c>
      <c r="O237" t="inlineStr">
        <is>
          <t>—</t>
        </is>
      </c>
    </row>
    <row r="238">
      <c r="A238" t="inlineStr">
        <is>
          <t>20260608</t>
        </is>
      </c>
      <c r="B238" t="inlineStr">
        <is>
          <t>科创50ETF</t>
        </is>
      </c>
      <c r="C238" t="inlineStr">
        <is>
          <t>588050</t>
        </is>
      </c>
      <c r="D238" t="n">
        <v>60000</v>
      </c>
      <c r="E238" t="n">
        <v>1.838</v>
      </c>
      <c r="F238" t="n">
        <v>110280</v>
      </c>
      <c r="G238" t="n">
        <v>1.641</v>
      </c>
      <c r="H238" t="n">
        <v>-0.0426</v>
      </c>
      <c r="I238" t="n">
        <v>98460</v>
      </c>
      <c r="J238" t="n">
        <v>-11820</v>
      </c>
      <c r="K238" t="n">
        <v>-0.1072</v>
      </c>
      <c r="L238" t="n">
        <v>0.05</v>
      </c>
      <c r="M238" t="n">
        <v>0.0287</v>
      </c>
      <c r="N238" t="n">
        <v>-0.0213</v>
      </c>
      <c r="O238" t="inlineStr">
        <is>
          <t>—</t>
        </is>
      </c>
    </row>
    <row r="239">
      <c r="A239" t="inlineStr">
        <is>
          <t>20260608</t>
        </is>
      </c>
      <c r="B239" t="inlineStr">
        <is>
          <t>创业板ETF</t>
        </is>
      </c>
      <c r="C239" t="inlineStr">
        <is>
          <t>159915</t>
        </is>
      </c>
      <c r="D239" t="n">
        <v>63000</v>
      </c>
      <c r="E239" t="n">
        <v>3.968</v>
      </c>
      <c r="F239" t="n">
        <v>249984</v>
      </c>
      <c r="G239" t="n">
        <v>3.827</v>
      </c>
      <c r="H239" t="n">
        <v>-0.0377</v>
      </c>
      <c r="I239" t="n">
        <v>241101</v>
      </c>
      <c r="J239" t="n">
        <v>-8883</v>
      </c>
      <c r="K239" t="n">
        <v>-0.0355</v>
      </c>
      <c r="L239" t="n">
        <v>0.05</v>
      </c>
      <c r="M239" t="n">
        <v>0.0703</v>
      </c>
      <c r="N239" t="n">
        <v>0.0203</v>
      </c>
      <c r="O239" t="inlineStr">
        <is>
          <t>—</t>
        </is>
      </c>
    </row>
    <row r="240">
      <c r="A240" t="inlineStr">
        <is>
          <t>20260608</t>
        </is>
      </c>
      <c r="B240" t="inlineStr">
        <is>
          <t>红利低波ETF</t>
        </is>
      </c>
      <c r="C240" t="inlineStr">
        <is>
          <t>512890</t>
        </is>
      </c>
      <c r="D240" t="n">
        <v>218000</v>
      </c>
      <c r="E240" t="n">
        <v>1.15</v>
      </c>
      <c r="F240" t="n">
        <v>250700</v>
      </c>
      <c r="G240" t="n">
        <v>1.165</v>
      </c>
      <c r="H240" t="n">
        <v>0.0052</v>
      </c>
      <c r="I240" t="n">
        <v>253970</v>
      </c>
      <c r="J240" t="n">
        <v>3270</v>
      </c>
      <c r="K240" t="n">
        <v>0.013</v>
      </c>
      <c r="L240" t="n">
        <v>0.05</v>
      </c>
      <c r="M240" t="n">
        <v>0.074</v>
      </c>
      <c r="N240" t="n">
        <v>0.024</v>
      </c>
      <c r="O240" t="inlineStr">
        <is>
          <t>—</t>
        </is>
      </c>
    </row>
    <row r="241">
      <c r="A241" t="inlineStr">
        <is>
          <t>20260608</t>
        </is>
      </c>
      <c r="B241" t="inlineStr">
        <is>
          <t>可转债ETF</t>
        </is>
      </c>
      <c r="C241" t="inlineStr">
        <is>
          <t>511380</t>
        </is>
      </c>
      <c r="D241" t="n">
        <v>14500</v>
      </c>
      <c r="E241" t="n">
        <v>13.8644</v>
      </c>
      <c r="F241" t="n">
        <v>201033.8</v>
      </c>
      <c r="G241" t="n">
        <v>13.824</v>
      </c>
      <c r="H241" t="n">
        <v>-0.0089</v>
      </c>
      <c r="I241" t="n">
        <v>200448</v>
      </c>
      <c r="J241" t="n">
        <v>-585.8</v>
      </c>
      <c r="K241" t="n">
        <v>-0.0029</v>
      </c>
      <c r="L241" t="n">
        <v>0.1</v>
      </c>
      <c r="M241" t="n">
        <v>0.0584</v>
      </c>
      <c r="N241" t="n">
        <v>-0.0416</v>
      </c>
      <c r="O241" t="inlineStr">
        <is>
          <t>—</t>
        </is>
      </c>
    </row>
    <row r="242">
      <c r="A242" t="inlineStr">
        <is>
          <t>20260608</t>
        </is>
      </c>
      <c r="B242" t="inlineStr">
        <is>
          <t>10年国债ETF</t>
        </is>
      </c>
      <c r="C242" t="inlineStr">
        <is>
          <t>511260</t>
        </is>
      </c>
      <c r="D242" t="n">
        <v>3700</v>
      </c>
      <c r="E242" t="n">
        <v>135.645</v>
      </c>
      <c r="F242" t="n">
        <v>501886.5000000001</v>
      </c>
      <c r="G242" t="n">
        <v>135.899</v>
      </c>
      <c r="H242" t="n">
        <v>-0.0013</v>
      </c>
      <c r="I242" t="n">
        <v>502826.3</v>
      </c>
      <c r="J242" t="n">
        <v>939.8</v>
      </c>
      <c r="K242" t="n">
        <v>0.0019</v>
      </c>
      <c r="L242" t="n">
        <v>0.1</v>
      </c>
      <c r="M242" t="n">
        <v>0.1465</v>
      </c>
      <c r="N242" t="n">
        <v>0.0465</v>
      </c>
      <c r="O242" t="inlineStr">
        <is>
          <t>—</t>
        </is>
      </c>
    </row>
    <row r="243">
      <c r="A243" t="inlineStr">
        <is>
          <t>20260608</t>
        </is>
      </c>
      <c r="B243" t="inlineStr">
        <is>
          <t>5年国债ETF</t>
        </is>
      </c>
      <c r="C243" t="inlineStr">
        <is>
          <t>511010</t>
        </is>
      </c>
      <c r="D243" t="n">
        <v>3500</v>
      </c>
      <c r="E243" t="n">
        <v>141.2121</v>
      </c>
      <c r="F243" t="n">
        <v>494242.35</v>
      </c>
      <c r="G243" t="n">
        <v>141.409</v>
      </c>
      <c r="H243" t="n">
        <v>-0.0005999999999999999</v>
      </c>
      <c r="I243" t="n">
        <v>494931.5</v>
      </c>
      <c r="J243" t="n">
        <v>689.15</v>
      </c>
      <c r="K243" t="n">
        <v>0.0014</v>
      </c>
      <c r="L243" t="n">
        <v>0.1</v>
      </c>
      <c r="M243" t="n">
        <v>0.1442</v>
      </c>
      <c r="N243" t="n">
        <v>0.0442</v>
      </c>
      <c r="O243" t="inlineStr">
        <is>
          <t>—</t>
        </is>
      </c>
    </row>
    <row r="244">
      <c r="A244" t="inlineStr">
        <is>
          <t>20260608</t>
        </is>
      </c>
      <c r="B244" t="inlineStr">
        <is>
          <t>短融ETF</t>
        </is>
      </c>
      <c r="C244" t="inlineStr">
        <is>
          <t>511360</t>
        </is>
      </c>
      <c r="D244" t="n">
        <v>2200</v>
      </c>
      <c r="E244" t="n">
        <v>113.462</v>
      </c>
      <c r="F244" t="n">
        <v>249616.4</v>
      </c>
      <c r="G244" t="n">
        <v>113.558</v>
      </c>
      <c r="H244" t="n">
        <v>0.0001</v>
      </c>
      <c r="I244" t="n">
        <v>249827.6</v>
      </c>
      <c r="J244" t="n">
        <v>211.2</v>
      </c>
      <c r="K244" t="n">
        <v>0.0008</v>
      </c>
      <c r="L244" t="n">
        <v>0.05</v>
      </c>
      <c r="M244" t="n">
        <v>0.0728</v>
      </c>
      <c r="N244" t="n">
        <v>0.0228</v>
      </c>
      <c r="O244" t="inlineStr">
        <is>
          <t>—</t>
        </is>
      </c>
    </row>
    <row r="245">
      <c r="A245" t="inlineStr">
        <is>
          <t>20260608</t>
        </is>
      </c>
      <c r="B245" t="inlineStr">
        <is>
          <t>黄金ETF</t>
        </is>
      </c>
      <c r="C245" t="inlineStr">
        <is>
          <t>518880</t>
        </is>
      </c>
      <c r="D245" t="n">
        <v>55800</v>
      </c>
      <c r="E245" t="n">
        <v>9.232699999999999</v>
      </c>
      <c r="F245" t="n">
        <v>515184.66</v>
      </c>
      <c r="G245" t="n">
        <v>8.952999999999999</v>
      </c>
      <c r="H245" t="n">
        <v>-0.0323</v>
      </c>
      <c r="I245" t="n">
        <v>499577.4</v>
      </c>
      <c r="J245" t="n">
        <v>-15607.26</v>
      </c>
      <c r="K245" t="n">
        <v>-0.0303</v>
      </c>
      <c r="L245" t="n">
        <v>0.15</v>
      </c>
      <c r="M245" t="n">
        <v>0.1456</v>
      </c>
      <c r="N245" t="n">
        <v>-0.0044</v>
      </c>
      <c r="O245" t="inlineStr">
        <is>
          <t>—</t>
        </is>
      </c>
    </row>
    <row r="246">
      <c r="A246" t="inlineStr">
        <is>
          <t>20260608</t>
        </is>
      </c>
      <c r="B246" t="inlineStr">
        <is>
          <t>银华日利ETF</t>
        </is>
      </c>
      <c r="C246" t="inlineStr">
        <is>
          <t>511880</t>
        </is>
      </c>
      <c r="G246" t="n">
        <v>100.516</v>
      </c>
      <c r="H246" t="n">
        <v>-0.0001</v>
      </c>
      <c r="I246" t="n">
        <v>0</v>
      </c>
      <c r="J246" t="n">
        <v>0</v>
      </c>
      <c r="K246" t="n">
        <v>0</v>
      </c>
      <c r="L246" t="n">
        <v>0.05</v>
      </c>
      <c r="M246" t="n">
        <v>0</v>
      </c>
      <c r="N246" t="n">
        <v>-0.05</v>
      </c>
      <c r="O246" t="inlineStr">
        <is>
          <t>—</t>
        </is>
      </c>
    </row>
    <row r="247">
      <c r="A247" t="inlineStr">
        <is>
          <t>20260608</t>
        </is>
      </c>
      <c r="B247" t="inlineStr">
        <is>
          <t>华宝添益ETF</t>
        </is>
      </c>
      <c r="C247" t="inlineStr">
        <is>
          <t>511990</t>
        </is>
      </c>
      <c r="G247" t="n">
        <v>100.002</v>
      </c>
      <c r="H247" t="n">
        <v>-0.0001</v>
      </c>
      <c r="I247" t="n">
        <v>0</v>
      </c>
      <c r="J247" t="n">
        <v>0</v>
      </c>
      <c r="K247" t="n">
        <v>0</v>
      </c>
      <c r="L247" t="n">
        <v>0.05</v>
      </c>
      <c r="M247" t="n">
        <v>0</v>
      </c>
      <c r="N247" t="n">
        <v>-0.05</v>
      </c>
      <c r="O247" t="inlineStr">
        <is>
          <t>—</t>
        </is>
      </c>
    </row>
    <row r="248">
      <c r="A248" t="inlineStr">
        <is>
          <t>20260612</t>
        </is>
      </c>
      <c r="B248" t="inlineStr">
        <is>
          <t>沪深300ETF</t>
        </is>
      </c>
      <c r="C248" t="inlineStr">
        <is>
          <t>510300</t>
        </is>
      </c>
      <c r="D248" t="n">
        <v>153800</v>
      </c>
      <c r="E248" t="n">
        <v>4.885</v>
      </c>
      <c r="F248" t="n">
        <v>751313</v>
      </c>
      <c r="G248" t="n">
        <v>4.818</v>
      </c>
      <c r="H248" t="n">
        <v>0.0141</v>
      </c>
      <c r="I248" t="n">
        <v>741008.3999999999</v>
      </c>
      <c r="J248" t="n">
        <v>-10304.6</v>
      </c>
      <c r="K248" t="n">
        <v>-0.0137</v>
      </c>
      <c r="L248" t="n">
        <v>0.15</v>
      </c>
      <c r="M248" t="n">
        <v>0.2156</v>
      </c>
      <c r="N248" t="n">
        <v>0.06560000000000001</v>
      </c>
      <c r="O248" t="inlineStr">
        <is>
          <t>—</t>
        </is>
      </c>
    </row>
    <row r="249">
      <c r="A249" t="inlineStr">
        <is>
          <t>20260612</t>
        </is>
      </c>
      <c r="B249" t="inlineStr">
        <is>
          <t>中证500ETF</t>
        </is>
      </c>
      <c r="C249" t="inlineStr">
        <is>
          <t>510500</t>
        </is>
      </c>
      <c r="D249" t="n">
        <v>20000</v>
      </c>
      <c r="E249" t="n">
        <v>8.696</v>
      </c>
      <c r="F249" t="n">
        <v>173920</v>
      </c>
      <c r="G249" t="n">
        <v>8.242000000000001</v>
      </c>
      <c r="H249" t="n">
        <v>0.0134</v>
      </c>
      <c r="I249" t="n">
        <v>164840</v>
      </c>
      <c r="J249" t="n">
        <v>-9080</v>
      </c>
      <c r="K249" t="n">
        <v>-0.0522</v>
      </c>
      <c r="L249" t="n">
        <v>0.1</v>
      </c>
      <c r="M249" t="n">
        <v>0.048</v>
      </c>
      <c r="N249" t="n">
        <v>-0.052</v>
      </c>
      <c r="O249" t="inlineStr">
        <is>
          <t>—</t>
        </is>
      </c>
    </row>
    <row r="250">
      <c r="A250" t="inlineStr">
        <is>
          <t>20260612</t>
        </is>
      </c>
      <c r="B250" t="inlineStr">
        <is>
          <t>科创50ETF</t>
        </is>
      </c>
      <c r="C250" t="inlineStr">
        <is>
          <t>588050</t>
        </is>
      </c>
      <c r="D250" t="n">
        <v>60000</v>
      </c>
      <c r="E250" t="n">
        <v>1.838</v>
      </c>
      <c r="F250" t="n">
        <v>110280</v>
      </c>
      <c r="G250" t="n">
        <v>1.709</v>
      </c>
      <c r="H250" t="n">
        <v>-0.0005999999999999999</v>
      </c>
      <c r="I250" t="n">
        <v>102540</v>
      </c>
      <c r="J250" t="n">
        <v>-7740</v>
      </c>
      <c r="K250" t="n">
        <v>-0.0702</v>
      </c>
      <c r="L250" t="n">
        <v>0.05</v>
      </c>
      <c r="M250" t="n">
        <v>0.0298</v>
      </c>
      <c r="N250" t="n">
        <v>-0.0202</v>
      </c>
      <c r="O250" t="inlineStr">
        <is>
          <t>—</t>
        </is>
      </c>
    </row>
    <row r="251">
      <c r="A251" t="inlineStr">
        <is>
          <t>20260612</t>
        </is>
      </c>
      <c r="B251" t="inlineStr">
        <is>
          <t>创业板ETF</t>
        </is>
      </c>
      <c r="C251" t="inlineStr">
        <is>
          <t>159915</t>
        </is>
      </c>
      <c r="D251" t="n">
        <v>63000</v>
      </c>
      <c r="E251" t="n">
        <v>3.968</v>
      </c>
      <c r="F251" t="n">
        <v>249984</v>
      </c>
      <c r="G251" t="n">
        <v>3.846</v>
      </c>
      <c r="H251" t="n">
        <v>0.0042</v>
      </c>
      <c r="I251" t="n">
        <v>242298</v>
      </c>
      <c r="J251" t="n">
        <v>-7686</v>
      </c>
      <c r="K251" t="n">
        <v>-0.0307</v>
      </c>
      <c r="L251" t="n">
        <v>0.05</v>
      </c>
      <c r="M251" t="n">
        <v>0.07049999999999999</v>
      </c>
      <c r="N251" t="n">
        <v>0.0205</v>
      </c>
      <c r="O251" t="inlineStr">
        <is>
          <t>—</t>
        </is>
      </c>
    </row>
    <row r="252">
      <c r="A252" t="inlineStr">
        <is>
          <t>20260612</t>
        </is>
      </c>
      <c r="B252" t="inlineStr">
        <is>
          <t>红利低波ETF</t>
        </is>
      </c>
      <c r="C252" t="inlineStr">
        <is>
          <t>512890</t>
        </is>
      </c>
      <c r="D252" t="n">
        <v>218000</v>
      </c>
      <c r="E252" t="n">
        <v>1.15</v>
      </c>
      <c r="F252" t="n">
        <v>250700</v>
      </c>
      <c r="G252" t="n">
        <v>1.172</v>
      </c>
      <c r="H252" t="n">
        <v>0.0086</v>
      </c>
      <c r="I252" t="n">
        <v>255496</v>
      </c>
      <c r="J252" t="n">
        <v>4796</v>
      </c>
      <c r="K252" t="n">
        <v>0.0191</v>
      </c>
      <c r="L252" t="n">
        <v>0.05</v>
      </c>
      <c r="M252" t="n">
        <v>0.0743</v>
      </c>
      <c r="N252" t="n">
        <v>0.0243</v>
      </c>
      <c r="O252" t="inlineStr">
        <is>
          <t>—</t>
        </is>
      </c>
    </row>
    <row r="253">
      <c r="A253" t="inlineStr">
        <is>
          <t>20260612</t>
        </is>
      </c>
      <c r="B253" t="inlineStr">
        <is>
          <t>可转债ETF</t>
        </is>
      </c>
      <c r="C253" t="inlineStr">
        <is>
          <t>511380</t>
        </is>
      </c>
      <c r="D253" t="n">
        <v>14500</v>
      </c>
      <c r="E253" t="n">
        <v>13.8644</v>
      </c>
      <c r="F253" t="n">
        <v>201033.8</v>
      </c>
      <c r="G253" t="n">
        <v>13.929</v>
      </c>
      <c r="H253" t="n">
        <v>0.0083</v>
      </c>
      <c r="I253" t="n">
        <v>201970.5</v>
      </c>
      <c r="J253" t="n">
        <v>936.7</v>
      </c>
      <c r="K253" t="n">
        <v>0.0047</v>
      </c>
      <c r="L253" t="n">
        <v>0.1</v>
      </c>
      <c r="M253" t="n">
        <v>0.0588</v>
      </c>
      <c r="N253" t="n">
        <v>-0.0412</v>
      </c>
      <c r="O253" t="inlineStr">
        <is>
          <t>—</t>
        </is>
      </c>
    </row>
    <row r="254">
      <c r="A254" t="inlineStr">
        <is>
          <t>20260612</t>
        </is>
      </c>
      <c r="B254" t="inlineStr">
        <is>
          <t>10年国债ETF</t>
        </is>
      </c>
      <c r="C254" t="inlineStr">
        <is>
          <t>511260</t>
        </is>
      </c>
      <c r="D254" t="n">
        <v>3700</v>
      </c>
      <c r="E254" t="n">
        <v>135.645</v>
      </c>
      <c r="F254" t="n">
        <v>501886.5000000001</v>
      </c>
      <c r="G254" t="n">
        <v>135.582</v>
      </c>
      <c r="H254" t="n">
        <v>0.0005</v>
      </c>
      <c r="I254" t="n">
        <v>501653.4</v>
      </c>
      <c r="J254" t="n">
        <v>-233.1</v>
      </c>
      <c r="K254" t="n">
        <v>-0.0005</v>
      </c>
      <c r="L254" t="n">
        <v>0.1</v>
      </c>
      <c r="M254" t="n">
        <v>0.146</v>
      </c>
      <c r="N254" t="n">
        <v>0.046</v>
      </c>
      <c r="O254" t="inlineStr">
        <is>
          <t>—</t>
        </is>
      </c>
    </row>
    <row r="255">
      <c r="A255" t="inlineStr">
        <is>
          <t>20260612</t>
        </is>
      </c>
      <c r="B255" t="inlineStr">
        <is>
          <t>5年国债ETF</t>
        </is>
      </c>
      <c r="C255" t="inlineStr">
        <is>
          <t>511010</t>
        </is>
      </c>
      <c r="D255" t="n">
        <v>3500</v>
      </c>
      <c r="E255" t="n">
        <v>141.2121</v>
      </c>
      <c r="F255" t="n">
        <v>494242.35</v>
      </c>
      <c r="G255" t="n">
        <v>141.163</v>
      </c>
      <c r="H255" t="n">
        <v>0.0002</v>
      </c>
      <c r="I255" t="n">
        <v>494070.5000000001</v>
      </c>
      <c r="J255" t="n">
        <v>-171.85</v>
      </c>
      <c r="K255" t="n">
        <v>-0.0003</v>
      </c>
      <c r="L255" t="n">
        <v>0.1</v>
      </c>
      <c r="M255" t="n">
        <v>0.1438</v>
      </c>
      <c r="N255" t="n">
        <v>0.0438</v>
      </c>
      <c r="O255" t="inlineStr">
        <is>
          <t>—</t>
        </is>
      </c>
    </row>
    <row r="256">
      <c r="A256" t="inlineStr">
        <is>
          <t>20260612</t>
        </is>
      </c>
      <c r="B256" t="inlineStr">
        <is>
          <t>短融ETF</t>
        </is>
      </c>
      <c r="C256" t="inlineStr">
        <is>
          <t>511360</t>
        </is>
      </c>
      <c r="D256" t="n">
        <v>2200</v>
      </c>
      <c r="E256" t="n">
        <v>113.462</v>
      </c>
      <c r="F256" t="n">
        <v>249616.4</v>
      </c>
      <c r="G256" t="n">
        <v>113.538</v>
      </c>
      <c r="H256" t="n">
        <v>-0.0001</v>
      </c>
      <c r="I256" t="n">
        <v>249783.6</v>
      </c>
      <c r="J256" t="n">
        <v>167.2</v>
      </c>
      <c r="K256" t="n">
        <v>0.0007</v>
      </c>
      <c r="L256" t="n">
        <v>0.05</v>
      </c>
      <c r="M256" t="n">
        <v>0.0727</v>
      </c>
      <c r="N256" t="n">
        <v>0.0227</v>
      </c>
      <c r="O256" t="inlineStr">
        <is>
          <t>—</t>
        </is>
      </c>
    </row>
    <row r="257">
      <c r="A257" t="inlineStr">
        <is>
          <t>20260612</t>
        </is>
      </c>
      <c r="B257" t="inlineStr">
        <is>
          <t>黄金ETF</t>
        </is>
      </c>
      <c r="C257" t="inlineStr">
        <is>
          <t>518880</t>
        </is>
      </c>
      <c r="D257" t="n">
        <v>55800</v>
      </c>
      <c r="E257" t="n">
        <v>9.232699999999999</v>
      </c>
      <c r="F257" t="n">
        <v>515184.66</v>
      </c>
      <c r="G257" t="n">
        <v>8.659000000000001</v>
      </c>
      <c r="H257" t="n">
        <v>0.018</v>
      </c>
      <c r="I257" t="n">
        <v>483172.2</v>
      </c>
      <c r="J257" t="n">
        <v>-32012.46</v>
      </c>
      <c r="K257" t="n">
        <v>-0.0621</v>
      </c>
      <c r="L257" t="n">
        <v>0.15</v>
      </c>
      <c r="M257" t="n">
        <v>0.1406</v>
      </c>
      <c r="N257" t="n">
        <v>-0.0094</v>
      </c>
      <c r="O257" t="inlineStr">
        <is>
          <t>—</t>
        </is>
      </c>
    </row>
    <row r="258">
      <c r="A258" t="inlineStr">
        <is>
          <t>20260612</t>
        </is>
      </c>
      <c r="B258" t="inlineStr">
        <is>
          <t>银华日利ETF</t>
        </is>
      </c>
      <c r="C258" t="inlineStr">
        <is>
          <t>511880</t>
        </is>
      </c>
      <c r="G258" t="n">
        <v>100.517</v>
      </c>
      <c r="H258" t="n">
        <v>-0.0001</v>
      </c>
      <c r="I258" t="n">
        <v>0</v>
      </c>
      <c r="J258" t="n">
        <v>0</v>
      </c>
      <c r="K258" t="n">
        <v>0</v>
      </c>
      <c r="L258" t="n">
        <v>0.05</v>
      </c>
      <c r="M258" t="n">
        <v>0</v>
      </c>
      <c r="N258" t="n">
        <v>-0.05</v>
      </c>
      <c r="O258" t="inlineStr">
        <is>
          <t>—</t>
        </is>
      </c>
    </row>
    <row r="259">
      <c r="A259" t="inlineStr">
        <is>
          <t>20260612</t>
        </is>
      </c>
      <c r="B259" t="inlineStr">
        <is>
          <t>华宝添益ETF</t>
        </is>
      </c>
      <c r="C259" t="inlineStr">
        <is>
          <t>511990</t>
        </is>
      </c>
      <c r="G259" t="n">
        <v>100.003</v>
      </c>
      <c r="I259" t="n">
        <v>0</v>
      </c>
      <c r="J259" t="n">
        <v>0</v>
      </c>
      <c r="K259" t="n">
        <v>0</v>
      </c>
      <c r="L259" t="n">
        <v>0.05</v>
      </c>
      <c r="M259" t="n">
        <v>0</v>
      </c>
      <c r="N259" t="n">
        <v>-0.05</v>
      </c>
      <c r="O259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65004</dc:creator>
  <dcterms:created xmlns:dcterms="http://purl.org/dc/terms/" xmlns:xsi="http://www.w3.org/2001/XMLSchema-instance" xsi:type="dcterms:W3CDTF">2026-05-17T17:55:00Z</dcterms:created>
  <dcterms:modified xmlns:dcterms="http://purl.org/dc/terms/" xmlns:xsi="http://www.w3.org/2001/XMLSchema-instance" xsi:type="dcterms:W3CDTF">2026-06-20T17:01:19Z</dcterms:modified>
  <cp:lastModifiedBy>王堅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56193DD5E53642A78178CF55E8B5268D_11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