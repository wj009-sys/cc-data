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'流水'!$A$1:$F$19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0" fontId="0" fillId="2" borderId="1" applyAlignment="1" pivotButton="0" quotePrefix="0" xfId="0">
      <alignment vertical="center" wrapText="1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0" fontId="0" fillId="2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2" t="inlineStr">
        <is>
          <t>500万资产配置 -- 投资纪律速查（优化版 2026-05-21）</t>
        </is>
      </c>
    </row>
    <row r="3" ht="16.5" customHeight="1" s="1">
      <c r="A3" s="43" t="inlineStr">
        <is>
          <t>一、统一阶梯止盈（7%/9%/12% 三档）</t>
        </is>
      </c>
    </row>
    <row r="4">
      <c r="A4" s="44" t="inlineStr">
        <is>
          <t>适用：510300/510500/588050/159915/512890/511380/518880 | 不适用：债底/现金</t>
        </is>
      </c>
    </row>
    <row r="5" ht="14.5" customHeight="1" s="1">
      <c r="A5" s="45" t="inlineStr">
        <is>
          <t>档位</t>
        </is>
      </c>
      <c r="B5" s="45" t="inlineStr">
        <is>
          <t>浮盈阈值</t>
        </is>
      </c>
      <c r="C5" s="45" t="inlineStr">
        <is>
          <t>触发条件</t>
        </is>
      </c>
      <c r="D5" s="45" t="inlineStr">
        <is>
          <t>减仓比例</t>
        </is>
      </c>
      <c r="E5" s="45" t="inlineStr">
        <is>
          <t>锁定规则</t>
        </is>
      </c>
    </row>
    <row r="6" ht="14.5" customHeight="1" s="1">
      <c r="A6" s="46" t="inlineStr">
        <is>
          <t>第一档</t>
        </is>
      </c>
      <c r="B6" s="46" t="inlineStr">
        <is>
          <t>&gt;= +7%</t>
        </is>
      </c>
      <c r="C6" s="46" t="inlineStr">
        <is>
          <t>成本价 x 1.07</t>
        </is>
      </c>
      <c r="D6" s="46" t="inlineStr">
        <is>
          <t>20%</t>
        </is>
      </c>
      <c r="E6" s="46" t="inlineStr">
        <is>
          <t>每档仅触发一次，标记[已兑现]</t>
        </is>
      </c>
    </row>
    <row r="7" ht="14.5" customHeight="1" s="1">
      <c r="A7" s="46" t="inlineStr">
        <is>
          <t>第二档</t>
        </is>
      </c>
      <c r="B7" s="46" t="inlineStr">
        <is>
          <t>&gt;= +9%</t>
        </is>
      </c>
      <c r="C7" s="46" t="inlineStr">
        <is>
          <t>成本价 x 1.09</t>
        </is>
      </c>
      <c r="D7" s="46" t="inlineStr">
        <is>
          <t>30%</t>
        </is>
      </c>
      <c r="E7" s="46" t="inlineStr">
        <is>
          <t>累计已减 50%</t>
        </is>
      </c>
    </row>
    <row r="8" ht="14.5" customHeight="1" s="1">
      <c r="A8" s="46" t="inlineStr">
        <is>
          <t>第三档</t>
        </is>
      </c>
      <c r="B8" s="46" t="inlineStr">
        <is>
          <t>&gt;= +12%</t>
        </is>
      </c>
      <c r="C8" s="46" t="inlineStr">
        <is>
          <t>成本价 x 1.12</t>
        </is>
      </c>
      <c r="D8" s="46" t="inlineStr">
        <is>
          <t>剩余全部 100%</t>
        </is>
      </c>
      <c r="E8" s="46" t="inlineStr">
        <is>
          <t>清仓止盈，本轮交易结束</t>
        </is>
      </c>
    </row>
    <row r="10">
      <c r="A10" s="47" t="inlineStr">
        <is>
          <t>[新增] 止盈资金须2个交易日内再配置，优先补给低仓位资产或买入511880/511990</t>
        </is>
      </c>
    </row>
    <row r="12" ht="16.5" customHeight="1" s="1">
      <c r="A12" s="43" t="inlineStr">
        <is>
          <t>二、高波动品种硬止损（科创50/创业板专用）</t>
        </is>
      </c>
    </row>
    <row r="13" ht="14.5" customHeight="1" s="1">
      <c r="A13" s="45" t="inlineStr">
        <is>
          <t>档位</t>
        </is>
      </c>
      <c r="B13" s="45" t="inlineStr">
        <is>
          <t>浮亏阈值</t>
        </is>
      </c>
      <c r="C13" s="45" t="inlineStr">
        <is>
          <t>次日执行动作</t>
        </is>
      </c>
      <c r="D13" s="45" t="inlineStr">
        <is>
          <t>减仓后状态</t>
        </is>
      </c>
      <c r="E13" s="45" t="inlineStr">
        <is>
          <t>备注</t>
        </is>
      </c>
    </row>
    <row r="14" ht="14.5" customHeight="1" s="1">
      <c r="A14" s="46" t="inlineStr">
        <is>
          <t>预警线</t>
        </is>
      </c>
      <c r="B14" s="46" t="inlineStr">
        <is>
          <t>&gt;= -5%</t>
        </is>
      </c>
      <c r="C14" s="46" t="inlineStr">
        <is>
          <t>记录台账，暂停新增买入</t>
        </is>
      </c>
      <c r="D14" s="46" t="inlineStr">
        <is>
          <t>保持仓位，进入观察</t>
        </is>
      </c>
      <c r="E14" s="46" t="inlineStr"/>
    </row>
    <row r="15" ht="14.5" customHeight="1" s="1">
      <c r="A15" s="46" t="inlineStr">
        <is>
          <t>止损A</t>
        </is>
      </c>
      <c r="B15" s="46" t="inlineStr">
        <is>
          <t>&gt;= -10%</t>
        </is>
      </c>
      <c r="C15" s="46" t="inlineStr">
        <is>
          <t>次日开盘市价卖出50%</t>
        </is>
      </c>
      <c r="D15" s="46" t="inlineStr">
        <is>
          <t>剩余~12.5万</t>
        </is>
      </c>
      <c r="E15" s="46" t="inlineStr">
        <is>
          <t>优化：放宽后</t>
        </is>
      </c>
    </row>
    <row r="16" ht="14.5" customHeight="1" s="1">
      <c r="A16" s="46" t="inlineStr">
        <is>
          <t>止损B</t>
        </is>
      </c>
      <c r="B16" s="46" t="inlineStr">
        <is>
          <t>&gt;= -15%</t>
        </is>
      </c>
      <c r="C16" s="46" t="inlineStr">
        <is>
          <t>次日开盘市价卖出100%</t>
        </is>
      </c>
      <c r="D16" s="46" t="inlineStr">
        <is>
          <t>彻底清仓，观察20日</t>
        </is>
      </c>
      <c r="E16" s="46" t="inlineStr">
        <is>
          <t>优化：放宽后</t>
        </is>
      </c>
    </row>
    <row r="18">
      <c r="A18" s="47" t="inlineStr">
        <is>
          <t>[新增] 动态止损：价格跌破20日均线且累计跌幅超8% -&gt; 预警，暂停新增买入</t>
        </is>
      </c>
    </row>
    <row r="20" ht="16.5" customHeight="1" s="1">
      <c r="A20" s="43" t="inlineStr">
        <is>
          <t>三、其他权益品种统一止损（-15%）</t>
        </is>
      </c>
    </row>
    <row r="21">
      <c r="A21" s="44" t="inlineStr">
        <is>
          <t>适用：510300/510500/512890/518880/511380  |  清仓后观察40个交易日，站稳20日均线方可重建</t>
        </is>
      </c>
    </row>
    <row r="23" ht="16.5" customHeight="1" s="1">
      <c r="A23" s="43" t="inlineStr">
        <is>
          <t>四、组合再平衡（优化版）</t>
        </is>
      </c>
    </row>
    <row r="24" ht="14.5" customHeight="1" s="1">
      <c r="A24" s="45" t="inlineStr">
        <is>
          <t>偏离程度</t>
        </is>
      </c>
      <c r="B24" s="45" t="inlineStr">
        <is>
          <t>阈值</t>
        </is>
      </c>
      <c r="C24" s="45" t="inlineStr">
        <is>
          <t>执行动作</t>
        </is>
      </c>
      <c r="D24" s="45" t="inlineStr">
        <is>
          <t>完成时限</t>
        </is>
      </c>
      <c r="E24" s="45" t="inlineStr">
        <is>
          <t>备注</t>
        </is>
      </c>
    </row>
    <row r="25" ht="14.5" customHeight="1" s="1">
      <c r="A25" s="46" t="inlineStr">
        <is>
          <t>预警线</t>
        </is>
      </c>
      <c r="B25" s="46" t="inlineStr">
        <is>
          <t>+/- 3%</t>
        </is>
      </c>
      <c r="C25" s="46" t="inlineStr">
        <is>
          <t>记录台账，观察准备资金</t>
        </is>
      </c>
      <c r="D25" s="46" t="inlineStr">
        <is>
          <t>不强制操作</t>
        </is>
      </c>
      <c r="E25" s="46" t="inlineStr">
        <is>
          <t>新增</t>
        </is>
      </c>
    </row>
    <row r="26" ht="14.5" customHeight="1" s="1">
      <c r="A26" s="46" t="inlineStr">
        <is>
          <t>触发线</t>
        </is>
      </c>
      <c r="B26" s="46" t="inlineStr">
        <is>
          <t>+/- 7%</t>
        </is>
      </c>
      <c r="C26" s="46" t="inlineStr">
        <is>
          <t>强制卖出超配，买入低配</t>
        </is>
      </c>
      <c r="D26" s="46" t="inlineStr">
        <is>
          <t>2个交易日内</t>
        </is>
      </c>
      <c r="E26" s="46" t="inlineStr">
        <is>
          <t>放宽后</t>
        </is>
      </c>
    </row>
    <row r="27" ht="14.5" customHeight="1" s="1">
      <c r="A27" s="46" t="inlineStr">
        <is>
          <t>紧急线</t>
        </is>
      </c>
      <c r="B27" s="46" t="inlineStr">
        <is>
          <t>+/- 10%</t>
        </is>
      </c>
      <c r="C27" s="46" t="inlineStr">
        <is>
          <t>次日必须完成纠偏</t>
        </is>
      </c>
      <c r="D27" s="46" t="inlineStr">
        <is>
          <t>次日收盘前</t>
        </is>
      </c>
      <c r="E27" s="46" t="inlineStr">
        <is>
          <t>新增</t>
        </is>
      </c>
    </row>
    <row r="29">
      <c r="A29" s="47" t="inlineStr">
        <is>
          <t>[新增] 估值再平衡：沪深300 PE&gt;70%分位 -&gt; 权益降5% -&gt; 转入511260/511010</t>
        </is>
      </c>
    </row>
    <row r="30">
      <c r="A30" s="48" t="inlineStr">
        <is>
          <t>卖出排序：黄金&gt;科创/创业&gt;可转债&gt;中证500&gt;沪深300&gt;红利低波</t>
        </is>
      </c>
    </row>
    <row r="32" ht="16.5" customHeight="1" s="1">
      <c r="A32" s="43" t="inlineStr">
        <is>
          <t>五、熔断与黑天鹅应对</t>
        </is>
      </c>
    </row>
    <row r="33" ht="14.5" customHeight="1" s="1">
      <c r="A33" s="45" t="inlineStr">
        <is>
          <t>档位</t>
        </is>
      </c>
      <c r="B33" s="45" t="inlineStr">
        <is>
          <t>组合回撤</t>
        </is>
      </c>
      <c r="C33" s="45" t="inlineStr">
        <is>
          <t>触发状态</t>
        </is>
      </c>
      <c r="D33" s="45" t="inlineStr">
        <is>
          <t>强制动作</t>
        </is>
      </c>
      <c r="E33" s="45" t="inlineStr">
        <is>
          <t>备注</t>
        </is>
      </c>
    </row>
    <row r="34" ht="14.5" customHeight="1" s="1">
      <c r="A34" s="46" t="inlineStr">
        <is>
          <t>绿色</t>
        </is>
      </c>
      <c r="B34" s="46" t="inlineStr">
        <is>
          <t>&lt; -5%</t>
        </is>
      </c>
      <c r="C34" s="46" t="inlineStr">
        <is>
          <t>正常波动</t>
        </is>
      </c>
      <c r="D34" s="46" t="inlineStr">
        <is>
          <t>维持既有纪律</t>
        </is>
      </c>
      <c r="E34" s="46" t="inlineStr"/>
    </row>
    <row r="35" ht="14.5" customHeight="1" s="1">
      <c r="A35" s="46" t="inlineStr">
        <is>
          <t>黄色</t>
        </is>
      </c>
      <c r="B35" s="46" t="inlineStr">
        <is>
          <t>&gt;= -10%</t>
        </is>
      </c>
      <c r="C35" s="46" t="inlineStr">
        <is>
          <t>组合预警</t>
        </is>
      </c>
      <c r="D35" s="46" t="inlineStr">
        <is>
          <t>暂停新建仓+追涨，仅允许止盈/止损/再平衡</t>
        </is>
      </c>
      <c r="E35" s="46" t="inlineStr"/>
    </row>
    <row r="36" ht="14.5" customHeight="1" s="1">
      <c r="A36" s="46" t="inlineStr">
        <is>
          <t>红色</t>
        </is>
      </c>
      <c r="B36" s="46" t="inlineStr">
        <is>
          <t>&gt;= -12%</t>
        </is>
      </c>
      <c r="C36" s="46" t="inlineStr">
        <is>
          <t>组合熔断</t>
        </is>
      </c>
      <c r="D36" s="46" t="inlineStr">
        <is>
          <t>权益压至60%以下，资金转债/货基</t>
        </is>
      </c>
      <c r="E36" s="46" t="inlineStr">
        <is>
          <t>不变</t>
        </is>
      </c>
    </row>
    <row r="37" ht="14.5" customHeight="1" s="1">
      <c r="A37" s="46" t="inlineStr">
        <is>
          <t>黑天鹅</t>
        </is>
      </c>
      <c r="B37" s="46" t="inlineStr">
        <is>
          <t>&gt;= -15%</t>
        </is>
      </c>
      <c r="C37" s="46" t="inlineStr">
        <is>
          <t>极端风险</t>
        </is>
      </c>
      <c r="D37" s="46" t="inlineStr">
        <is>
          <t>权益压至40%以下；保留20%现金+40%债券</t>
        </is>
      </c>
      <c r="E37" s="46" t="inlineStr">
        <is>
          <t>新增</t>
        </is>
      </c>
    </row>
    <row r="39">
      <c r="A39" s="48" t="inlineStr">
        <is>
          <t>黑天鹅卖出顺序：科创50&gt;创业板&gt;黄金(保留底10万)&gt;中证500&gt;可转债 | 恢复：回撤&lt;-10%</t>
        </is>
      </c>
    </row>
    <row r="40">
      <c r="A40" s="47" t="inlineStr">
        <is>
          <t>不可抗拒条款：触发当日必须下达卖出指令，不得以等反弹为由拖延</t>
        </is>
      </c>
    </row>
    <row r="42" ht="16.5" customHeight="1" s="1">
      <c r="A42" s="43" t="inlineStr">
        <is>
          <t>六、黄金ETF（518880）建仓（优化版：底仓+定投+大跌加码）</t>
        </is>
      </c>
    </row>
    <row r="43" ht="14.5" customHeight="1" s="1">
      <c r="A43" s="45" t="inlineStr">
        <is>
          <t>阶段</t>
        </is>
      </c>
      <c r="B43" s="45" t="inlineStr">
        <is>
          <t>触发条件</t>
        </is>
      </c>
      <c r="C43" s="45" t="inlineStr">
        <is>
          <t>单次投入</t>
        </is>
      </c>
      <c r="D43" s="45" t="inlineStr">
        <is>
          <t>累计投入</t>
        </is>
      </c>
      <c r="E43" s="45" t="inlineStr">
        <is>
          <t>仓位进度</t>
        </is>
      </c>
    </row>
    <row r="44" ht="14.5" customHeight="1" s="1">
      <c r="A44" s="46" t="inlineStr">
        <is>
          <t>底仓先行</t>
        </is>
      </c>
      <c r="B44" s="46" t="inlineStr">
        <is>
          <t>立即执行</t>
        </is>
      </c>
      <c r="C44" s="46" t="inlineStr">
        <is>
          <t>25万</t>
        </is>
      </c>
      <c r="D44" s="46" t="inlineStr">
        <is>
          <t>25万</t>
        </is>
      </c>
      <c r="E44" s="46" t="inlineStr">
        <is>
          <t>33%</t>
        </is>
      </c>
    </row>
    <row r="45" ht="14.5" customHeight="1" s="1">
      <c r="A45" s="46" t="inlineStr">
        <is>
          <t>定投阶段</t>
        </is>
      </c>
      <c r="B45" s="46" t="inlineStr">
        <is>
          <t>每月固定（第2-12月）</t>
        </is>
      </c>
      <c r="C45" s="46" t="inlineStr">
        <is>
          <t>4.5万/月</t>
        </is>
      </c>
      <c r="D45" s="46" t="inlineStr">
        <is>
          <t>25-70万</t>
        </is>
      </c>
      <c r="E45" s="46" t="inlineStr">
        <is>
          <t>33%-93%</t>
        </is>
      </c>
    </row>
    <row r="46" ht="14.5" customHeight="1" s="1">
      <c r="A46" s="46" t="inlineStr">
        <is>
          <t>大跌加码</t>
        </is>
      </c>
      <c r="B46" s="46" t="inlineStr">
        <is>
          <t>单月跌幅超5%</t>
        </is>
      </c>
      <c r="C46" s="46" t="inlineStr">
        <is>
          <t>5万/次</t>
        </is>
      </c>
      <c r="D46" s="46" t="inlineStr">
        <is>
          <t>累计不超过75万</t>
        </is>
      </c>
      <c r="E46" s="46" t="inlineStr">
        <is>
          <t>灵活补充</t>
        </is>
      </c>
    </row>
    <row r="47" ht="14.5" customHeight="1" s="1">
      <c r="A47" s="46" t="inlineStr">
        <is>
          <t>收官</t>
        </is>
      </c>
      <c r="B47" s="46" t="inlineStr">
        <is>
          <t>12个月完成或累计达75万</t>
        </is>
      </c>
      <c r="C47" s="46" t="inlineStr">
        <is>
          <t>补齐剩余</t>
        </is>
      </c>
      <c r="D47" s="46" t="inlineStr">
        <is>
          <t>75万</t>
        </is>
      </c>
      <c r="E47" s="46" t="inlineStr">
        <is>
          <t>100%</t>
        </is>
      </c>
    </row>
    <row r="49">
      <c r="A49" s="48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3" t="inlineStr">
        <is>
          <t>七、盈利提取规则（新增）</t>
        </is>
      </c>
    </row>
    <row r="52" ht="14.5" customHeight="1" s="1">
      <c r="A52" s="49" t="inlineStr">
        <is>
          <t>年收益&gt;15%时提取50%至独立现金账户，作为胜利果实锁定，不计入再平衡</t>
        </is>
      </c>
    </row>
    <row r="54" ht="16.5" customHeight="1" s="1">
      <c r="A54" s="43" t="inlineStr">
        <is>
          <t>八、流动性三原则</t>
        </is>
      </c>
    </row>
    <row r="55" ht="14.5" customHeight="1" s="1">
      <c r="A55" s="49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O11" sqref="O11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0" min="8" max="8"/>
    <col width="10.6388888888889" customWidth="1" style="51" min="9" max="9"/>
    <col width="16.4444444444444" customWidth="1" style="52" min="10" max="10"/>
    <col width="14.2222222222222" customWidth="1" style="53" min="11" max="11"/>
    <col width="15.1851851851852" customWidth="1" style="1" min="12" max="12"/>
    <col width="10.6388888888889" customWidth="1" style="53" min="13" max="13"/>
    <col width="19.7777777777778" customWidth="1" style="54" min="14" max="14"/>
    <col width="14.1111111111111" customWidth="1" style="1" min="15" max="15"/>
    <col width="9.546296296296299" customWidth="1" style="1" min="16" max="16"/>
    <col width="12.8148148148148" customWidth="1" style="1" min="17" max="18"/>
  </cols>
  <sheetData>
    <row r="1">
      <c r="A1" s="16" t="inlineStr">
        <is>
          <t>代码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5" t="inlineStr">
        <is>
          <t>成本价</t>
        </is>
      </c>
      <c r="I1" s="56" t="inlineStr">
        <is>
          <t>数量</t>
        </is>
      </c>
      <c r="J1" s="57" t="inlineStr">
        <is>
          <t>成本</t>
        </is>
      </c>
      <c r="K1" s="17" t="inlineStr">
        <is>
          <t>今日收盘价</t>
        </is>
      </c>
      <c r="L1" s="57" t="inlineStr">
        <is>
          <t>浮盈/亏</t>
        </is>
      </c>
      <c r="M1" s="5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>
      <c r="A2" s="22" t="n">
        <v>510300</v>
      </c>
      <c r="B2" s="22" t="inlineStr">
        <is>
          <t>华泰柏瑞沪深300ETF</t>
        </is>
      </c>
      <c r="C2" s="59" t="n">
        <v>5000000</v>
      </c>
      <c r="D2" s="60">
        <f>E2*C2</f>
        <v/>
      </c>
      <c r="E2" s="25" t="n">
        <v>0.15</v>
      </c>
      <c r="F2" s="61" t="n">
        <v>0.1778</v>
      </c>
      <c r="G2" s="61" t="n">
        <v>0.0278</v>
      </c>
      <c r="H2" s="62" t="n">
        <v>4.9042</v>
      </c>
      <c r="I2" s="63" t="n">
        <v>130000</v>
      </c>
      <c r="J2" s="64">
        <f>H2*I2</f>
        <v/>
      </c>
      <c r="K2" s="65" t="n">
        <v>4.926</v>
      </c>
      <c r="L2" s="66" t="n">
        <v>1320</v>
      </c>
      <c r="M2" s="58" t="n">
        <v>0.0024</v>
      </c>
      <c r="N2" s="4" t="n"/>
      <c r="O2" s="67">
        <f>D2-J2</f>
        <v/>
      </c>
      <c r="R2" s="0" t="n">
        <v>42600</v>
      </c>
    </row>
    <row r="3">
      <c r="A3" s="22" t="n">
        <v>510500</v>
      </c>
      <c r="B3" s="22" t="inlineStr">
        <is>
          <t>南方中证500ETF</t>
        </is>
      </c>
      <c r="C3" s="59" t="n">
        <v>5000000</v>
      </c>
      <c r="D3" s="60">
        <f>E3*C3</f>
        <v/>
      </c>
      <c r="E3" s="25" t="n">
        <v>0.1</v>
      </c>
      <c r="F3" s="61" t="n">
        <v>0.0554</v>
      </c>
      <c r="G3" s="61" t="n">
        <v>-0.0446</v>
      </c>
      <c r="H3" s="62" t="n">
        <v>8.696</v>
      </c>
      <c r="I3" s="63" t="n">
        <v>20000</v>
      </c>
      <c r="J3" s="64">
        <f>H3*I3</f>
        <v/>
      </c>
      <c r="K3" s="65" t="n">
        <v>8.448</v>
      </c>
      <c r="L3" s="66" t="n">
        <v>-4960</v>
      </c>
      <c r="M3" s="58" t="n">
        <v>-0.0285</v>
      </c>
      <c r="N3" s="4" t="inlineStr">
        <is>
          <t>权重预警偏离-4.5%</t>
        </is>
      </c>
      <c r="O3" s="67">
        <f>D3-J3</f>
        <v/>
      </c>
      <c r="R3" s="0" t="n">
        <v>38700</v>
      </c>
    </row>
    <row r="4">
      <c r="A4" s="22" t="n">
        <v>588050</v>
      </c>
      <c r="B4" s="22" t="inlineStr">
        <is>
          <t>科创50ETF</t>
        </is>
      </c>
      <c r="C4" s="59" t="n">
        <v>5000000</v>
      </c>
      <c r="D4" s="60">
        <f>E4*C4</f>
        <v/>
      </c>
      <c r="E4" s="25" t="n">
        <v>0.05</v>
      </c>
      <c r="F4" s="61" t="n">
        <v>0.0351</v>
      </c>
      <c r="G4" s="61" t="n">
        <v>-0.0149</v>
      </c>
      <c r="H4" s="62" t="n">
        <v>1.838</v>
      </c>
      <c r="I4" s="63" t="n">
        <v>60000</v>
      </c>
      <c r="J4" s="64">
        <f>H4*I4</f>
        <v/>
      </c>
      <c r="K4" s="65" t="n">
        <v>1.783</v>
      </c>
      <c r="L4" s="66" t="n">
        <v>-3300</v>
      </c>
      <c r="M4" s="58" t="n">
        <v>-0.0299</v>
      </c>
      <c r="N4" s="4" t="n"/>
      <c r="O4" s="67">
        <f>D4-J4</f>
        <v/>
      </c>
      <c r="R4" s="0" t="n">
        <v>77900</v>
      </c>
    </row>
    <row r="5" customFormat="1" s="10">
      <c r="A5" s="31" t="n">
        <v>159915</v>
      </c>
      <c r="B5" s="31" t="inlineStr">
        <is>
          <t>易方达创业板ETF</t>
        </is>
      </c>
      <c r="C5" s="68" t="n">
        <v>5000000</v>
      </c>
      <c r="D5" s="69">
        <f>E5*C5</f>
        <v/>
      </c>
      <c r="E5" s="34" t="n">
        <v>0.05</v>
      </c>
      <c r="F5" s="70" t="n">
        <v>0.0847</v>
      </c>
      <c r="G5" s="70" t="n">
        <v>0.0347</v>
      </c>
      <c r="H5" s="71" t="n">
        <v>3.968</v>
      </c>
      <c r="I5" s="72" t="n">
        <v>63000</v>
      </c>
      <c r="J5" s="73">
        <f>H5*I5</f>
        <v/>
      </c>
      <c r="K5" s="65" t="n">
        <v>4.1</v>
      </c>
      <c r="L5" s="74" t="n">
        <v>8316</v>
      </c>
      <c r="M5" s="75" t="n">
        <v>0.0333</v>
      </c>
      <c r="N5" s="41" t="inlineStr">
        <is>
          <t>权重预警偏离+3.5%</t>
        </is>
      </c>
      <c r="O5" s="67" t="n"/>
    </row>
    <row r="6" customFormat="1" s="10">
      <c r="A6" s="31" t="n">
        <v>512890</v>
      </c>
      <c r="B6" s="31" t="inlineStr">
        <is>
          <t>华泰柏瑞红利低波ETF</t>
        </is>
      </c>
      <c r="C6" s="68" t="n">
        <v>5000000</v>
      </c>
      <c r="D6" s="69">
        <f>E6*C6</f>
        <v/>
      </c>
      <c r="E6" s="34" t="n">
        <v>0.05</v>
      </c>
      <c r="F6" s="70" t="n">
        <v>0.0828</v>
      </c>
      <c r="G6" s="70" t="n">
        <v>0.0328</v>
      </c>
      <c r="H6" s="71" t="n">
        <v>1.15</v>
      </c>
      <c r="I6" s="72" t="n">
        <v>218000</v>
      </c>
      <c r="J6" s="73">
        <f>H6*I6</f>
        <v/>
      </c>
      <c r="K6" s="65" t="n">
        <v>1.158</v>
      </c>
      <c r="L6" s="74" t="n">
        <v>1744</v>
      </c>
      <c r="M6" s="75" t="n">
        <v>0.007</v>
      </c>
      <c r="N6" s="41" t="inlineStr">
        <is>
          <t>权重预警偏离+3.3%</t>
        </is>
      </c>
      <c r="O6" s="67" t="n"/>
    </row>
    <row r="7">
      <c r="A7" s="22" t="n">
        <v>511380</v>
      </c>
      <c r="B7" s="22" t="inlineStr">
        <is>
          <t>可转债ETF</t>
        </is>
      </c>
      <c r="C7" s="59" t="n">
        <v>5000000</v>
      </c>
      <c r="D7" s="60">
        <f>E7*C7</f>
        <v/>
      </c>
      <c r="E7" s="25" t="n">
        <v>0.1</v>
      </c>
      <c r="F7" s="61" t="n">
        <v>0.0331</v>
      </c>
      <c r="G7" s="61" t="n">
        <v>-0.0669</v>
      </c>
      <c r="H7" s="62" t="n">
        <v>13.95</v>
      </c>
      <c r="I7" s="63" t="n">
        <v>7200</v>
      </c>
      <c r="J7" s="64">
        <f>H7*I7</f>
        <v/>
      </c>
      <c r="K7" s="62" t="n">
        <v>13.999</v>
      </c>
      <c r="L7" s="66" t="n">
        <v>352.8</v>
      </c>
      <c r="M7" s="58" t="n">
        <v>0.0035</v>
      </c>
      <c r="N7" s="4" t="inlineStr">
        <is>
          <t>权重预警偏离-6.7%</t>
        </is>
      </c>
      <c r="O7" s="67">
        <f>D7-J7</f>
        <v/>
      </c>
    </row>
    <row r="8" customFormat="1" s="10">
      <c r="A8" s="31" t="n">
        <v>511260</v>
      </c>
      <c r="B8" s="31" t="inlineStr">
        <is>
          <t>国泰上证10年期国债ETF</t>
        </is>
      </c>
      <c r="C8" s="68" t="n">
        <v>5000000</v>
      </c>
      <c r="D8" s="69">
        <f>E8*C8</f>
        <v/>
      </c>
      <c r="E8" s="34" t="n">
        <v>0.1</v>
      </c>
      <c r="F8" s="70" t="n">
        <v>0.1653</v>
      </c>
      <c r="G8" s="70" t="n">
        <v>0.0653</v>
      </c>
      <c r="H8" s="71" t="n">
        <v>135.645</v>
      </c>
      <c r="I8" s="72" t="n">
        <v>3700</v>
      </c>
      <c r="J8" s="73">
        <f>H8*I8</f>
        <v/>
      </c>
      <c r="K8" s="65" t="n">
        <v>136.133</v>
      </c>
      <c r="L8" s="74" t="n">
        <v>1805.6</v>
      </c>
      <c r="M8" s="75" t="n">
        <v>0.0036</v>
      </c>
      <c r="N8" s="41" t="inlineStr">
        <is>
          <t>权重预警偏离+6.5%</t>
        </is>
      </c>
      <c r="O8" s="67" t="n"/>
    </row>
    <row r="9" customFormat="1" s="10">
      <c r="A9" s="31" t="n">
        <v>511010</v>
      </c>
      <c r="B9" s="31" t="inlineStr">
        <is>
          <t>国泰上证5年期国债ETF</t>
        </is>
      </c>
      <c r="C9" s="68" t="n">
        <v>5000000</v>
      </c>
      <c r="D9" s="69">
        <f>E9*C9</f>
        <v/>
      </c>
      <c r="E9" s="34" t="n">
        <v>0.1</v>
      </c>
      <c r="F9" s="70" t="n">
        <v>0.1625</v>
      </c>
      <c r="G9" s="70" t="n">
        <v>0.0625</v>
      </c>
      <c r="H9" s="71" t="n">
        <v>141.2121</v>
      </c>
      <c r="I9" s="72" t="n">
        <v>3500</v>
      </c>
      <c r="J9" s="73">
        <f>H9*I9</f>
        <v/>
      </c>
      <c r="K9" s="65" t="n">
        <v>141.504</v>
      </c>
      <c r="L9" s="74" t="n">
        <v>1021.65</v>
      </c>
      <c r="M9" s="75" t="n">
        <v>0.0021</v>
      </c>
      <c r="N9" s="41" t="inlineStr">
        <is>
          <t>权重预警偏离+6.2%</t>
        </is>
      </c>
      <c r="O9" s="67" t="n"/>
    </row>
    <row r="10" customFormat="1" s="10">
      <c r="A10" s="31" t="n">
        <v>511360</v>
      </c>
      <c r="B10" s="31" t="inlineStr">
        <is>
          <t>海富通中证短融ETF</t>
        </is>
      </c>
      <c r="C10" s="68" t="n">
        <v>5000000</v>
      </c>
      <c r="D10" s="69">
        <f>E10*C10</f>
        <v/>
      </c>
      <c r="E10" s="34" t="n">
        <v>0.05</v>
      </c>
      <c r="F10" s="70" t="n">
        <v>0.082</v>
      </c>
      <c r="G10" s="70" t="n">
        <v>0.032</v>
      </c>
      <c r="H10" s="71" t="n">
        <v>113.462</v>
      </c>
      <c r="I10" s="72" t="n">
        <v>2200</v>
      </c>
      <c r="J10" s="73">
        <f>H10*I10</f>
        <v/>
      </c>
      <c r="K10" s="65" t="n">
        <v>113.535</v>
      </c>
      <c r="L10" s="74" t="n">
        <v>160.6</v>
      </c>
      <c r="M10" s="75" t="n">
        <v>0.0005999999999999999</v>
      </c>
      <c r="N10" s="41" t="inlineStr">
        <is>
          <t>权重预警偏离+3.2%</t>
        </is>
      </c>
      <c r="O10" s="67" t="n"/>
    </row>
    <row r="11">
      <c r="A11" s="22" t="n">
        <v>518880</v>
      </c>
      <c r="B11" s="22" t="inlineStr">
        <is>
          <t>华安黄金ETF</t>
        </is>
      </c>
      <c r="C11" s="59" t="n">
        <v>5000000</v>
      </c>
      <c r="D11" s="60">
        <f>E11*C11</f>
        <v/>
      </c>
      <c r="E11" s="25" t="n">
        <v>0.15</v>
      </c>
      <c r="F11" s="61" t="n">
        <v>0.1213</v>
      </c>
      <c r="G11" s="61" t="n">
        <v>-0.0287</v>
      </c>
      <c r="H11" s="62" t="n">
        <v>9.396599999999999</v>
      </c>
      <c r="I11" s="63" t="n">
        <v>39800</v>
      </c>
      <c r="J11" s="64">
        <f>H11*I11</f>
        <v/>
      </c>
      <c r="K11" s="65" t="n">
        <v>9.289999999999999</v>
      </c>
      <c r="L11" s="66" t="n">
        <v>-4242.68</v>
      </c>
      <c r="M11" s="58" t="n">
        <v>-0.0113</v>
      </c>
      <c r="N11" s="4" t="n"/>
      <c r="O11" s="67">
        <f>D11-J11</f>
        <v/>
      </c>
    </row>
    <row r="12">
      <c r="A12" s="22" t="n">
        <v>511880</v>
      </c>
      <c r="B12" s="22" t="inlineStr">
        <is>
          <t>银华日利ETF</t>
        </is>
      </c>
      <c r="C12" s="59" t="n">
        <v>5000000</v>
      </c>
      <c r="D12" s="60">
        <f>E12*C12</f>
        <v/>
      </c>
      <c r="E12" s="25" t="n">
        <v>0.05</v>
      </c>
      <c r="F12" s="61" t="n">
        <v>0</v>
      </c>
      <c r="G12" s="61" t="n">
        <v>-0.05</v>
      </c>
      <c r="H12" s="62" t="n"/>
      <c r="I12" s="63" t="n"/>
      <c r="J12" s="64">
        <f>H12*I12</f>
        <v/>
      </c>
      <c r="K12" s="62" t="n">
        <v>100.512</v>
      </c>
      <c r="L12" s="66" t="n">
        <v>0</v>
      </c>
      <c r="M12" s="58" t="n">
        <v>0</v>
      </c>
      <c r="N12" s="4" t="inlineStr">
        <is>
          <t>权重预警偏离-5.0%</t>
        </is>
      </c>
      <c r="O12" s="67">
        <f>D12-J12</f>
        <v/>
      </c>
    </row>
    <row r="13">
      <c r="A13" s="22" t="n">
        <v>511990</v>
      </c>
      <c r="B13" s="22" t="inlineStr">
        <is>
          <t>华宝添益ETF</t>
        </is>
      </c>
      <c r="C13" s="59" t="n">
        <v>5000000</v>
      </c>
      <c r="D13" s="60">
        <f>E13*C13</f>
        <v/>
      </c>
      <c r="E13" s="25" t="n">
        <v>0.05</v>
      </c>
      <c r="F13" s="61" t="n">
        <v>0</v>
      </c>
      <c r="G13" s="61" t="n">
        <v>-0.05</v>
      </c>
      <c r="H13" s="62" t="n"/>
      <c r="I13" s="63" t="n"/>
      <c r="J13" s="64">
        <f>H13*I13</f>
        <v/>
      </c>
      <c r="K13" s="65" t="n">
        <v>100.001</v>
      </c>
      <c r="L13" s="66" t="n">
        <v>0</v>
      </c>
      <c r="M13" s="58" t="n">
        <v>0</v>
      </c>
      <c r="N13" s="4" t="inlineStr">
        <is>
          <t>权重预警偏离-5.0%</t>
        </is>
      </c>
      <c r="O13" s="67">
        <f>D13-J13</f>
        <v/>
      </c>
    </row>
    <row r="14">
      <c r="A14" s="4" t="inlineStr"/>
      <c r="B14" s="4" t="inlineStr"/>
      <c r="C14" s="4" t="inlineStr"/>
      <c r="D14" s="64">
        <f>SUM(D2:D13)</f>
        <v/>
      </c>
      <c r="E14" s="25" t="n"/>
      <c r="F14" s="25" t="n"/>
      <c r="G14" s="4" t="inlineStr"/>
      <c r="H14" s="62" t="inlineStr"/>
      <c r="I14" s="63" t="inlineStr"/>
      <c r="J14" s="64">
        <f>SUM(J2:J13)</f>
        <v/>
      </c>
      <c r="K14" s="4" t="n"/>
      <c r="L14" s="64">
        <f>SUM(L2:L13)</f>
        <v/>
      </c>
      <c r="M14" s="58">
        <f>L14/J14</f>
        <v/>
      </c>
      <c r="N14" s="4" t="inlineStr"/>
      <c r="O1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F20" sqref="F20"/>
    </sheetView>
  </sheetViews>
  <sheetFormatPr baseColWidth="8" defaultColWidth="9" defaultRowHeight="14.4"/>
  <cols>
    <col width="20.8148148148148" customWidth="1" style="76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6"/>
  </cols>
  <sheetData>
    <row r="1">
      <c r="A1" s="77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77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78" t="n">
        <v>113.462</v>
      </c>
      <c r="E2" s="63" t="n">
        <v>2200</v>
      </c>
      <c r="F2" s="64">
        <f>D2*E2</f>
        <v/>
      </c>
    </row>
    <row r="3">
      <c r="A3" s="77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78" t="n">
        <v>9.497999999999999</v>
      </c>
      <c r="E3" s="63" t="n">
        <v>15800</v>
      </c>
      <c r="F3" s="64">
        <f>D3*E3</f>
        <v/>
      </c>
    </row>
    <row r="4">
      <c r="A4" s="77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78" t="n">
        <v>141.253</v>
      </c>
      <c r="E4" s="63" t="n">
        <v>800</v>
      </c>
      <c r="F4" s="64">
        <f>D4*E4</f>
        <v/>
      </c>
    </row>
    <row r="5">
      <c r="A5" s="77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78" t="n">
        <v>135.645</v>
      </c>
      <c r="E5" s="63" t="n">
        <v>3700</v>
      </c>
      <c r="F5" s="64">
        <f>D5*E5</f>
        <v/>
      </c>
    </row>
    <row r="6">
      <c r="A6" s="77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78" t="n">
        <v>4.942</v>
      </c>
      <c r="E6" s="63" t="n">
        <v>70000</v>
      </c>
      <c r="F6" s="64">
        <f>D6*E6</f>
        <v/>
      </c>
    </row>
    <row r="7">
      <c r="A7" s="77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78" t="n">
        <v>3.968</v>
      </c>
      <c r="E7" s="63" t="n">
        <v>63000</v>
      </c>
      <c r="F7" s="64">
        <f>D7*E7</f>
        <v/>
      </c>
    </row>
    <row r="8">
      <c r="A8" s="77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78" t="n">
        <v>8.696</v>
      </c>
      <c r="E8" s="63" t="n">
        <v>4000</v>
      </c>
      <c r="F8" s="64">
        <f>D8*E8</f>
        <v/>
      </c>
    </row>
    <row r="9">
      <c r="A9" s="77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78" t="n">
        <v>8.696</v>
      </c>
      <c r="E9" s="63" t="n">
        <v>16000</v>
      </c>
      <c r="F9" s="64">
        <f>D9*E9</f>
        <v/>
      </c>
    </row>
    <row r="10">
      <c r="A10" s="77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78" t="n">
        <v>4.865</v>
      </c>
      <c r="E10" s="63" t="n">
        <v>40000</v>
      </c>
      <c r="F10" s="64">
        <f>D10*E10</f>
        <v/>
      </c>
    </row>
    <row r="11">
      <c r="A11" s="77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78" t="n">
        <v>1.838</v>
      </c>
      <c r="E11" s="63" t="n">
        <v>60000</v>
      </c>
      <c r="F11" s="64">
        <f>D11*E11</f>
        <v/>
      </c>
    </row>
    <row r="12">
      <c r="A12" s="77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78" t="n">
        <v>141.2</v>
      </c>
      <c r="E12" s="63" t="n">
        <v>2700</v>
      </c>
      <c r="F12" s="64">
        <f>D12*E12</f>
        <v/>
      </c>
    </row>
    <row r="13">
      <c r="A13" s="79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78" t="n">
        <v>1.15</v>
      </c>
      <c r="E13" s="63" t="n">
        <v>218000</v>
      </c>
      <c r="F13" s="64">
        <f>D13*E13</f>
        <v/>
      </c>
    </row>
    <row r="14">
      <c r="A14" s="79" t="inlineStr">
        <is>
          <t>2026-05-26</t>
        </is>
      </c>
      <c r="B14" s="5" t="n">
        <v>518880</v>
      </c>
      <c r="C14" s="4" t="inlineStr">
        <is>
          <t>华安黄金ETF</t>
        </is>
      </c>
      <c r="D14" s="78" t="n">
        <v>9.455</v>
      </c>
      <c r="E14" s="63" t="n">
        <v>8000</v>
      </c>
      <c r="F14" s="64">
        <f>D14*E14</f>
        <v/>
      </c>
    </row>
    <row r="15">
      <c r="A15" s="77" t="inlineStr">
        <is>
          <t>2026-05-27</t>
        </is>
      </c>
      <c r="B15" s="5" t="n">
        <v>518880</v>
      </c>
      <c r="C15" s="4" t="inlineStr">
        <is>
          <t>华安黄金ETF</t>
        </is>
      </c>
      <c r="D15" s="78" t="n">
        <v>9.385</v>
      </c>
      <c r="E15" s="63" t="n">
        <v>8000</v>
      </c>
      <c r="F15" s="64">
        <f>D15*E15</f>
        <v/>
      </c>
    </row>
    <row r="16">
      <c r="A16" s="77" t="inlineStr">
        <is>
          <t>2026-05-28</t>
        </is>
      </c>
      <c r="B16" s="5" t="n">
        <v>518880</v>
      </c>
      <c r="C16" s="4" t="inlineStr">
        <is>
          <t>华安黄金ETF</t>
        </is>
      </c>
      <c r="D16" s="78" t="n">
        <v>9.15</v>
      </c>
      <c r="E16" s="63" t="n">
        <v>8000</v>
      </c>
      <c r="F16" s="64" t="n">
        <v>73200</v>
      </c>
    </row>
    <row r="17">
      <c r="A17" s="77" t="inlineStr">
        <is>
          <t>2026-05-28</t>
        </is>
      </c>
      <c r="B17" s="5" t="n">
        <v>511990</v>
      </c>
      <c r="C17" s="4" t="inlineStr">
        <is>
          <t>华宝添益ETF</t>
        </is>
      </c>
      <c r="D17" s="78" t="n">
        <v>99.997</v>
      </c>
      <c r="E17" s="63" t="n">
        <v>2500</v>
      </c>
      <c r="F17" s="64" t="n">
        <v>249992.5</v>
      </c>
    </row>
    <row r="18">
      <c r="A18" s="77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78" t="n">
        <v>13.95</v>
      </c>
      <c r="E18" s="63" t="n">
        <v>7200</v>
      </c>
      <c r="F18" s="64">
        <f>D18*E18</f>
        <v/>
      </c>
    </row>
    <row r="19">
      <c r="A19" s="77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78" t="n">
        <v>100.005</v>
      </c>
      <c r="E19" s="63" t="n">
        <v>-2500</v>
      </c>
      <c r="F19" s="64">
        <f>D19*E19</f>
        <v/>
      </c>
    </row>
    <row r="20">
      <c r="A20" t="inlineStr">
        <is>
          <t>2026-06-05</t>
        </is>
      </c>
      <c r="B20" t="n">
        <v>510300</v>
      </c>
      <c r="C20" t="inlineStr">
        <is>
          <t>华泰柏瑞沪深300ETF</t>
        </is>
      </c>
      <c r="D20" t="n">
        <v>4.85</v>
      </c>
      <c r="E20" t="n">
        <v>20000</v>
      </c>
      <c r="F20">
        <f>D20*E20</f>
        <v/>
      </c>
    </row>
  </sheetData>
  <autoFilter ref="A1:F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9"/>
  <sheetViews>
    <sheetView topLeftCell="A103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2026-06-05T06:28:58Z</dcterms:modified>
  <cp:lastModifiedBy>wangjian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