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60" activeTab="1"/>
  </bookViews>
  <sheets>
    <sheet name="投资纪要" sheetId="1" r:id="rId1"/>
    <sheet name="汇总" sheetId="2" r:id="rId2"/>
    <sheet name="流水" sheetId="3" r:id="rId3"/>
    <sheet name="日报" sheetId="4" r:id="rId4"/>
  </sheets>
  <definedNames>
    <definedName name="_xlnm._FilterDatabase" localSheetId="2" hidden="1">流水!$A$1:$F$24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<sst xmlns="http://schemas.openxmlformats.org/spreadsheetml/2006/main" count="1381" uniqueCount="455">
  <si>
    <t>500万资产配置 -- 投资纪律速查（优化版 2026-05-21）</t>
  </si>
  <si>
    <t>一、统一阶梯止盈（7%/9%/12% 三档）</t>
  </si>
  <si>
    <t>适用：510300/510500/588050/159915/512890/511380/518880 | 不适用：债底/现金</t>
  </si>
  <si>
    <t>档位</t>
  </si>
  <si>
    <t>浮盈阈值</t>
  </si>
  <si>
    <t>触发条件</t>
  </si>
  <si>
    <t>减仓比例</t>
  </si>
  <si>
    <t>锁定规则</t>
  </si>
  <si>
    <t>第一档</t>
  </si>
  <si>
    <t>&gt;= +7%</t>
  </si>
  <si>
    <t>成本价 x 1.07</t>
  </si>
  <si>
    <t>20%</t>
  </si>
  <si>
    <t>每档仅触发一次，标记[已兑现]</t>
  </si>
  <si>
    <t>第二档</t>
  </si>
  <si>
    <t>&gt;= +9%</t>
  </si>
  <si>
    <t>成本价 x 1.09</t>
  </si>
  <si>
    <t>30%</t>
  </si>
  <si>
    <t>累计已减 50%</t>
  </si>
  <si>
    <t>第三档</t>
  </si>
  <si>
    <t>&gt;= +12%</t>
  </si>
  <si>
    <t>成本价 x 1.12</t>
  </si>
  <si>
    <t>剩余全部 100%</t>
  </si>
  <si>
    <t>清仓止盈，本轮交易结束</t>
  </si>
  <si>
    <t>[新增] 止盈资金须2个交易日内再配置，优先补给低仓位资产或买入511880/511990</t>
  </si>
  <si>
    <t>二、高波动品种硬止损（科创50/创业板专用）</t>
  </si>
  <si>
    <t>浮亏阈值</t>
  </si>
  <si>
    <t>次日执行动作</t>
  </si>
  <si>
    <t>减仓后状态</t>
  </si>
  <si>
    <t>备注</t>
  </si>
  <si>
    <t>预警线</t>
  </si>
  <si>
    <t>&gt;= -5%</t>
  </si>
  <si>
    <t>记录台账，暂停新增买入</t>
  </si>
  <si>
    <t>保持仓位，进入观察</t>
  </si>
  <si>
    <t/>
  </si>
  <si>
    <t>止损A</t>
  </si>
  <si>
    <t>&gt;= -10%</t>
  </si>
  <si>
    <t>次日开盘市价卖出50%</t>
  </si>
  <si>
    <t>剩余~12.5万</t>
  </si>
  <si>
    <t>优化：放宽后</t>
  </si>
  <si>
    <t>止损B</t>
  </si>
  <si>
    <t>&gt;= -15%</t>
  </si>
  <si>
    <t>次日开盘市价卖出100%</t>
  </si>
  <si>
    <t>彻底清仓，观察20日</t>
  </si>
  <si>
    <t>[新增] 动态止损：价格跌破20日均线且累计跌幅超8% -&gt; 预警，暂停新增买入</t>
  </si>
  <si>
    <t>三、其他权益品种统一止损（-15%）</t>
  </si>
  <si>
    <t>适用：510300/510500/512890/518880/511380  |  清仓后观察40个交易日，站稳20日均线方可重建</t>
  </si>
  <si>
    <t>四、组合再平衡（优化版）</t>
  </si>
  <si>
    <t>偏离程度</t>
  </si>
  <si>
    <t>阈值</t>
  </si>
  <si>
    <t>执行动作</t>
  </si>
  <si>
    <t>完成时限</t>
  </si>
  <si>
    <t>+/- 3%</t>
  </si>
  <si>
    <t>记录台账，观察准备资金</t>
  </si>
  <si>
    <t>不强制操作</t>
  </si>
  <si>
    <t>新增</t>
  </si>
  <si>
    <t>触发线</t>
  </si>
  <si>
    <t>+/- 7%</t>
  </si>
  <si>
    <t>强制卖出超配，买入低配</t>
  </si>
  <si>
    <t>2个交易日内</t>
  </si>
  <si>
    <t>放宽后</t>
  </si>
  <si>
    <t>紧急线</t>
  </si>
  <si>
    <t>+/- 10%</t>
  </si>
  <si>
    <t>次日必须完成纠偏</t>
  </si>
  <si>
    <t>次日收盘前</t>
  </si>
  <si>
    <t>[新增] 估值再平衡：沪深300 PE&gt;70%分位 -&gt; 权益降5% -&gt; 转入511260/511010</t>
  </si>
  <si>
    <t>卖出排序：黄金&gt;科创/创业&gt;可转债&gt;中证500&gt;沪深300&gt;红利低波</t>
  </si>
  <si>
    <t>五、熔断与黑天鹅应对</t>
  </si>
  <si>
    <t>组合回撤</t>
  </si>
  <si>
    <t>触发状态</t>
  </si>
  <si>
    <t>强制动作</t>
  </si>
  <si>
    <t>绿色</t>
  </si>
  <si>
    <t>&lt; -5%</t>
  </si>
  <si>
    <t>正常波动</t>
  </si>
  <si>
    <t>维持既有纪律</t>
  </si>
  <si>
    <t>黄色</t>
  </si>
  <si>
    <t>组合预警</t>
  </si>
  <si>
    <t>暂停新建仓+追涨，仅允许止盈/止损/再平衡</t>
  </si>
  <si>
    <t>红色</t>
  </si>
  <si>
    <t>&gt;= -12%</t>
  </si>
  <si>
    <t>组合熔断</t>
  </si>
  <si>
    <t>权益压至60%以下，资金转债/货基</t>
  </si>
  <si>
    <t>不变</t>
  </si>
  <si>
    <t>黑天鹅</t>
  </si>
  <si>
    <t>极端风险</t>
  </si>
  <si>
    <t>权益压至40%以下；保留20%现金+40%债券</t>
  </si>
  <si>
    <t>黑天鹅卖出顺序：科创50&gt;创业板&gt;黄金(保留底10万)&gt;中证500&gt;可转债 | 恢复：回撤&lt;-10%</t>
  </si>
  <si>
    <t>不可抗拒条款：触发当日必须下达卖出指令，不得以等反弹为由拖延</t>
  </si>
  <si>
    <t>六、黄金ETF（518880）建仓（优化版：底仓+定投+大跌加码）</t>
  </si>
  <si>
    <t>阶段</t>
  </si>
  <si>
    <t>单次投入</t>
  </si>
  <si>
    <t>累计投入</t>
  </si>
  <si>
    <t>仓位进度</t>
  </si>
  <si>
    <t>底仓先行</t>
  </si>
  <si>
    <t>立即执行</t>
  </si>
  <si>
    <t>25万</t>
  </si>
  <si>
    <t>33%</t>
  </si>
  <si>
    <t>定投阶段</t>
  </si>
  <si>
    <t>每月固定（第2-12月）</t>
  </si>
  <si>
    <t>4.5万/月</t>
  </si>
  <si>
    <t>25-70万</t>
  </si>
  <si>
    <t>33%-93%</t>
  </si>
  <si>
    <t>大跌加码</t>
  </si>
  <si>
    <t>单月跌幅超5%</t>
  </si>
  <si>
    <t>5万/次</t>
  </si>
  <si>
    <t>累计不超过75万</t>
  </si>
  <si>
    <t>灵活补充</t>
  </si>
  <si>
    <t>收官</t>
  </si>
  <si>
    <t>12个月完成或累计达75万</t>
  </si>
  <si>
    <t>补齐剩余</t>
  </si>
  <si>
    <t>75万</t>
  </si>
  <si>
    <t>100%</t>
  </si>
  <si>
    <t>配套：时间强制轨道(3月未加码第4月强制4.5万) | 右侧修正(突破前高连5日站稳追入) | 硬止损(-20%且2周暂停)</t>
  </si>
  <si>
    <t>七、盈利提取规则（新增）</t>
  </si>
  <si>
    <t>年收益&gt;15%时提取50%至独立现金账户，作为胜利果实锁定，不计入再平衡</t>
  </si>
  <si>
    <t>八、流动性三原则</t>
  </si>
  <si>
    <t>511880+511990(50万)：除非系统暴跌补仓，否则不动 | 511360(25万)：T+0战术 | 类现金合计&gt;=75万</t>
  </si>
  <si>
    <t>代码</t>
  </si>
  <si>
    <t>名称</t>
  </si>
  <si>
    <t>总金额</t>
  </si>
  <si>
    <t>目标金额</t>
  </si>
  <si>
    <t>目标权重</t>
  </si>
  <si>
    <t>当前权重</t>
  </si>
  <si>
    <t>偏离</t>
  </si>
  <si>
    <t>成本价</t>
  </si>
  <si>
    <t>数量</t>
  </si>
  <si>
    <t>成本</t>
  </si>
  <si>
    <t>今日收盘价</t>
  </si>
  <si>
    <t>浮盈/亏</t>
  </si>
  <si>
    <t>浮盈/亏率</t>
  </si>
  <si>
    <t>建仓计划</t>
  </si>
  <si>
    <t>沪深300ETF</t>
  </si>
  <si>
    <t>📊权重预警偏离+6.9%</t>
  </si>
  <si>
    <t>南方中证500ETF</t>
  </si>
  <si>
    <t>📊权重预警偏离-5.1%</t>
  </si>
  <si>
    <t>科创50ETF</t>
  </si>
  <si>
    <t>⚡预警：浮亏-7.6% &gt;= -5%，暂停新增买入</t>
  </si>
  <si>
    <t>易方达创业板ETF</t>
  </si>
  <si>
    <t>华泰柏瑞红利低波ETF</t>
  </si>
  <si>
    <t>可转债ETF</t>
  </si>
  <si>
    <t>📊权重预警偏离-4.1%</t>
  </si>
  <si>
    <t>国泰上证10年期国债ETF</t>
  </si>
  <si>
    <t>📊权重预警偏离+4.9%</t>
  </si>
  <si>
    <t>国泰上证5年期国债ETF</t>
  </si>
  <si>
    <t>📊权重预警偏离+4.7%</t>
  </si>
  <si>
    <t>海富通中证短融ETF</t>
  </si>
  <si>
    <t>华安黄金ETF</t>
  </si>
  <si>
    <t>银华日利ETF</t>
  </si>
  <si>
    <t>📊权重预警偏离-5.0%</t>
  </si>
  <si>
    <t>华宝添益ETF</t>
  </si>
  <si>
    <t>日期</t>
  </si>
  <si>
    <t>单价</t>
  </si>
  <si>
    <t>金额</t>
  </si>
  <si>
    <t>2026-05-18</t>
  </si>
  <si>
    <t>511360</t>
  </si>
  <si>
    <t>短融ETF</t>
  </si>
  <si>
    <t>518880</t>
  </si>
  <si>
    <t>2026-05-19</t>
  </si>
  <si>
    <t>511010</t>
  </si>
  <si>
    <t>五年国债ETF</t>
  </si>
  <si>
    <t>2026-05-21</t>
  </si>
  <si>
    <t>511260</t>
  </si>
  <si>
    <t>十年国债ETF</t>
  </si>
  <si>
    <t>510300</t>
  </si>
  <si>
    <t>159915</t>
  </si>
  <si>
    <t>创业板ETF</t>
  </si>
  <si>
    <t>510500</t>
  </si>
  <si>
    <t>中证500ETF</t>
  </si>
  <si>
    <t>588050</t>
  </si>
  <si>
    <t>2026-05-25</t>
  </si>
  <si>
    <t>2026-05-26</t>
  </si>
  <si>
    <t>2026-05-27</t>
  </si>
  <si>
    <t>2026-05-28</t>
  </si>
  <si>
    <t>2026-06-05</t>
  </si>
  <si>
    <t>511380</t>
  </si>
  <si>
    <t>511990</t>
  </si>
  <si>
    <t>2026-06-08</t>
  </si>
  <si>
    <t>2026-06-10</t>
  </si>
  <si>
    <t>品种</t>
  </si>
  <si>
    <t>持仓股数</t>
  </si>
  <si>
    <t>持仓成本</t>
  </si>
  <si>
    <t>今日收盘</t>
  </si>
  <si>
    <t>涨跌幅</t>
  </si>
  <si>
    <t>当前市值</t>
  </si>
  <si>
    <t>浮动盈亏</t>
  </si>
  <si>
    <t>盈亏%</t>
  </si>
  <si>
    <t>实际权重</t>
  </si>
  <si>
    <t>触发信号</t>
  </si>
  <si>
    <t>五年国债</t>
  </si>
  <si>
    <t>511010.SH</t>
  </si>
  <si>
    <t>+0.09%</t>
  </si>
  <si>
    <t>-0.00%</t>
  </si>
  <si>
    <t>10%</t>
  </si>
  <si>
    <t>2.26%</t>
  </si>
  <si>
    <t>-7.7%</t>
  </si>
  <si>
    <t>—</t>
  </si>
  <si>
    <t>短融</t>
  </si>
  <si>
    <t>511360.SH</t>
  </si>
  <si>
    <t>+0.01%</t>
  </si>
  <si>
    <t>0.01%</t>
  </si>
  <si>
    <t>5%</t>
  </si>
  <si>
    <t>4.99%</t>
  </si>
  <si>
    <t>-0.0%</t>
  </si>
  <si>
    <t>黄金</t>
  </si>
  <si>
    <t>518880.SH</t>
  </si>
  <si>
    <t>+0.02%</t>
  </si>
  <si>
    <t>0.18%</t>
  </si>
  <si>
    <t>15%</t>
  </si>
  <si>
    <t>3.01%</t>
  </si>
  <si>
    <t>-12.0%</t>
  </si>
  <si>
    <t>2026-05-20</t>
  </si>
  <si>
    <t>0.05%</t>
  </si>
  <si>
    <t>10.42%</t>
  </si>
  <si>
    <t>+0.4%</t>
  </si>
  <si>
    <t>0.02%</t>
  </si>
  <si>
    <t>5.26%</t>
  </si>
  <si>
    <t>+0.3%</t>
  </si>
  <si>
    <t>-1.56%</t>
  </si>
  <si>
    <t>-1.38%</t>
  </si>
  <si>
    <t>3.12%</t>
  </si>
  <si>
    <t>-11.9%</t>
  </si>
  <si>
    <t>沪深300</t>
  </si>
  <si>
    <t>510300.SH</t>
  </si>
  <si>
    <t>-1.29%</t>
  </si>
  <si>
    <t>-2.16%</t>
  </si>
  <si>
    <t>10.63%</t>
  </si>
  <si>
    <t>-4.4%</t>
  </si>
  <si>
    <t>中证500</t>
  </si>
  <si>
    <t>510500.SH</t>
  </si>
  <si>
    <t>-2.80%</t>
  </si>
  <si>
    <t>-2.22%</t>
  </si>
  <si>
    <t>3.42%</t>
  </si>
  <si>
    <t>-6.6%</t>
  </si>
  <si>
    <t>科创50</t>
  </si>
  <si>
    <t>588050.SH</t>
  </si>
  <si>
    <t>-3.67%</t>
  </si>
  <si>
    <t>-1.47%</t>
  </si>
  <si>
    <t>2.18%</t>
  </si>
  <si>
    <t>-2.8%</t>
  </si>
  <si>
    <t>创业板</t>
  </si>
  <si>
    <t>159915.SZ</t>
  </si>
  <si>
    <t>-2.19%</t>
  </si>
  <si>
    <t>-3.07%</t>
  </si>
  <si>
    <t>4.87%</t>
  </si>
  <si>
    <t>-0.1%</t>
  </si>
  <si>
    <t>十年国债</t>
  </si>
  <si>
    <t>511260.SH</t>
  </si>
  <si>
    <t>-0.09%</t>
  </si>
  <si>
    <t>10.08%</t>
  </si>
  <si>
    <t>+0.1%</t>
  </si>
  <si>
    <t>-0.06%</t>
  </si>
  <si>
    <t>-0.01%</t>
  </si>
  <si>
    <t>9.94%</t>
  </si>
  <si>
    <t>5.02%</t>
  </si>
  <si>
    <t>+0.0%</t>
  </si>
  <si>
    <t>+0.89%</t>
  </si>
  <si>
    <t>-0.51%</t>
  </si>
  <si>
    <t>3.00%</t>
  </si>
  <si>
    <t>2026-05-22</t>
  </si>
  <si>
    <t>+1.12%</t>
  </si>
  <si>
    <t>-1.06%</t>
  </si>
  <si>
    <t>10.72%</t>
  </si>
  <si>
    <t>-4.3%</t>
  </si>
  <si>
    <t>+1.82%</t>
  </si>
  <si>
    <t>-0.44%</t>
  </si>
  <si>
    <t>3.47%</t>
  </si>
  <si>
    <t>-6.5%</t>
  </si>
  <si>
    <t>+1.49%</t>
  </si>
  <si>
    <t>0.00%</t>
  </si>
  <si>
    <t>2.21%</t>
  </si>
  <si>
    <t>+2.60%</t>
  </si>
  <si>
    <t>-0.55%</t>
  </si>
  <si>
    <t>4.98%</t>
  </si>
  <si>
    <t>-0.03%</t>
  </si>
  <si>
    <t>-0.13%</t>
  </si>
  <si>
    <t>10.04%</t>
  </si>
  <si>
    <t>9.90%</t>
  </si>
  <si>
    <t>0.03%</t>
  </si>
  <si>
    <t>5.00%</t>
  </si>
  <si>
    <t>+0.12%</t>
  </si>
  <si>
    <t>-0.39%</t>
  </si>
  <si>
    <t>+1.54%</t>
  </si>
  <si>
    <t>0.47%</t>
  </si>
  <si>
    <t>10.83%</t>
  </si>
  <si>
    <t>-4.2%</t>
  </si>
  <si>
    <t>+1.48%</t>
  </si>
  <si>
    <t>1.03%</t>
  </si>
  <si>
    <t>3.50%</t>
  </si>
  <si>
    <t>+5.60%</t>
  </si>
  <si>
    <t>5.60%</t>
  </si>
  <si>
    <t>2.32%</t>
  </si>
  <si>
    <t>-2.7%</t>
  </si>
  <si>
    <t>+2.23%</t>
  </si>
  <si>
    <t>1.66%</t>
  </si>
  <si>
    <t>5.07%</t>
  </si>
  <si>
    <t>+0.04%</t>
  </si>
  <si>
    <t>10.00%</t>
  </si>
  <si>
    <t>-0.02%</t>
  </si>
  <si>
    <t>9.85%</t>
  </si>
  <si>
    <t>+0.00%</t>
  </si>
  <si>
    <t>+0.54%</t>
  </si>
  <si>
    <t>0.15%</t>
  </si>
  <si>
    <t>+0.71%</t>
  </si>
  <si>
    <t>1.18%</t>
  </si>
  <si>
    <t>10.90%</t>
  </si>
  <si>
    <t>-4.1%</t>
  </si>
  <si>
    <t>0.64%</t>
  </si>
  <si>
    <t>3.49%</t>
  </si>
  <si>
    <t>-1.24%</t>
  </si>
  <si>
    <t>4.30%</t>
  </si>
  <si>
    <t>2.29%</t>
  </si>
  <si>
    <t>+0.52%</t>
  </si>
  <si>
    <t>2.19%</t>
  </si>
  <si>
    <t>5.09%</t>
  </si>
  <si>
    <t>红利低波</t>
  </si>
  <si>
    <t>512890.SH</t>
  </si>
  <si>
    <t>+0.35%</t>
  </si>
  <si>
    <t>0.52%</t>
  </si>
  <si>
    <t>+0.05%</t>
  </si>
  <si>
    <t>-0.04%</t>
  </si>
  <si>
    <t>0.04%</t>
  </si>
  <si>
    <t>-0.61%</t>
  </si>
  <si>
    <t>-0.31%</t>
  </si>
  <si>
    <t>4.48%</t>
  </si>
  <si>
    <t>-10.5%</t>
  </si>
  <si>
    <t>-0.80%</t>
  </si>
  <si>
    <t>0.37%</t>
  </si>
  <si>
    <t>10.84%</t>
  </si>
  <si>
    <t>-1.58%</t>
  </si>
  <si>
    <t>-0.94%</t>
  </si>
  <si>
    <t>3.44%</t>
  </si>
  <si>
    <t>-2.82%</t>
  </si>
  <si>
    <t>1.36%</t>
  </si>
  <si>
    <t>2.23%</t>
  </si>
  <si>
    <t>2.22%</t>
  </si>
  <si>
    <t>5.11%</t>
  </si>
  <si>
    <t>-0.52%</t>
  </si>
  <si>
    <t>5.01%</t>
  </si>
  <si>
    <t>+0.14%</t>
  </si>
  <si>
    <t>0.10%</t>
  </si>
  <si>
    <t>0.06%</t>
  </si>
  <si>
    <t>9.88%</t>
  </si>
  <si>
    <t>-1.15%</t>
  </si>
  <si>
    <t>-1.20%</t>
  </si>
  <si>
    <t>5.94%</t>
  </si>
  <si>
    <t>-9.1%</t>
  </si>
  <si>
    <t>+0.41%</t>
  </si>
  <si>
    <t>-0.54%</t>
  </si>
  <si>
    <t>3.46%</t>
  </si>
  <si>
    <t>+1.56%</t>
  </si>
  <si>
    <t>2.94%</t>
  </si>
  <si>
    <t>2.27%</t>
  </si>
  <si>
    <t>+2.02%</t>
  </si>
  <si>
    <t>4.28%</t>
  </si>
  <si>
    <t>5.21%</t>
  </si>
  <si>
    <t>+0.2%</t>
  </si>
  <si>
    <t>0.24%</t>
  </si>
  <si>
    <t>10.05%</t>
  </si>
  <si>
    <t>+0.08%</t>
  </si>
  <si>
    <t>9.89%</t>
  </si>
  <si>
    <t>-2.28%</t>
  </si>
  <si>
    <t>7.26%</t>
  </si>
  <si>
    <t>华宝添益</t>
  </si>
  <si>
    <t>511990.SH</t>
  </si>
  <si>
    <t>2026-05-29</t>
  </si>
  <si>
    <t>-0.18%</t>
  </si>
  <si>
    <t>10.82%</t>
  </si>
  <si>
    <t>-2.38%</t>
  </si>
  <si>
    <t>-2.91%</t>
  </si>
  <si>
    <t>3.37%</t>
  </si>
  <si>
    <t>-5.18%</t>
  </si>
  <si>
    <t>-2.39%</t>
  </si>
  <si>
    <t>2.15%</t>
  </si>
  <si>
    <t>-2.05%</t>
  </si>
  <si>
    <t>2.14%</t>
  </si>
  <si>
    <t>5.10%</t>
  </si>
  <si>
    <t>+2.01%</t>
  </si>
  <si>
    <t>1.48%</t>
  </si>
  <si>
    <t>5.08%</t>
  </si>
  <si>
    <t>0.27%</t>
  </si>
  <si>
    <t>+0.06%</t>
  </si>
  <si>
    <t>0.20%</t>
  </si>
  <si>
    <t>+2.90%</t>
  </si>
  <si>
    <t>7.47%</t>
  </si>
  <si>
    <t>-7.5%</t>
  </si>
  <si>
    <t>2026-06-01</t>
  </si>
  <si>
    <t>-1.12%</t>
  </si>
  <si>
    <t>10.74%</t>
  </si>
  <si>
    <t>-0.87%</t>
  </si>
  <si>
    <t>-3.75%</t>
  </si>
  <si>
    <t>3.36%</t>
  </si>
  <si>
    <t>-4.85%</t>
  </si>
  <si>
    <t>-7.13%</t>
  </si>
  <si>
    <t>2.05%</t>
  </si>
  <si>
    <t>-2.9%</t>
  </si>
  <si>
    <t>预警</t>
  </si>
  <si>
    <t>-2.20%</t>
  </si>
  <si>
    <t>-0.10%</t>
  </si>
  <si>
    <t>+1.20%</t>
  </si>
  <si>
    <t>2.70%</t>
  </si>
  <si>
    <t>5.16%</t>
  </si>
  <si>
    <t>0.33%</t>
  </si>
  <si>
    <t>10.10%</t>
  </si>
  <si>
    <t>0.21%</t>
  </si>
  <si>
    <t>9.93%</t>
  </si>
  <si>
    <t>-0.56%</t>
  </si>
  <si>
    <t>7.46%</t>
  </si>
  <si>
    <t>20260601</t>
  </si>
  <si>
    <t>📊权重预警偏离-4.3%</t>
  </si>
  <si>
    <t>📊权重预警偏离-6.6%</t>
  </si>
  <si>
    <t>⚡预警：浮亏-7.1% &gt;= -5%，暂停新增买入</t>
  </si>
  <si>
    <t>红利低波ETF</t>
  </si>
  <si>
    <t>512890</t>
  </si>
  <si>
    <t>10年国债ETF</t>
  </si>
  <si>
    <t>5年国债ETF</t>
  </si>
  <si>
    <t>黄金ETF</t>
  </si>
  <si>
    <t>⚠️权重触发线偏离-7.5%</t>
  </si>
  <si>
    <t>511880</t>
  </si>
  <si>
    <t>20260602</t>
  </si>
  <si>
    <t>📊权重预警偏离-4.2%</t>
  </si>
  <si>
    <t>⚡预警：浮亏-5.7% &gt;= -5%，暂停新增买入</t>
  </si>
  <si>
    <t>20260603</t>
  </si>
  <si>
    <t>📊权重预警偏离-4.7%</t>
  </si>
  <si>
    <t>📊权重预警偏离+3.1%</t>
  </si>
  <si>
    <t>🔴再平衡紧急线：偏离-10.0% &gt;= ±10%</t>
  </si>
  <si>
    <t>📊权重预警偏离+5.7%</t>
  </si>
  <si>
    <t>📊权重预警偏离+5.4%</t>
  </si>
  <si>
    <t>📊权重预警偏离-3.5%</t>
  </si>
  <si>
    <t>20260604</t>
  </si>
  <si>
    <t>-</t>
  </si>
  <si>
    <t>权重预警偏离-4.7%</t>
  </si>
  <si>
    <t>权重预警偏离+3.1%</t>
  </si>
  <si>
    <t>再平衡紧急:偏离&gt;=+-10%</t>
  </si>
  <si>
    <t>权重预警偏离+5.8%</t>
  </si>
  <si>
    <t>权重预警偏离+5.5%</t>
  </si>
  <si>
    <t>权重预警偏离-3.4%</t>
  </si>
  <si>
    <t>权重预警偏离-5.0%</t>
  </si>
  <si>
    <t>20260609</t>
  </si>
  <si>
    <t>🟠再平衡触发线：偏离+7.6% &gt;= ±7%，强制调仓</t>
  </si>
  <si>
    <t>⚡预警：浮亏-7.2% &gt;= -5%，暂停新增买入</t>
  </si>
  <si>
    <t>📊权重预警偏离-7.0%</t>
  </si>
  <si>
    <t>📊权重预警偏离+5.3%</t>
  </si>
  <si>
    <t>📊权重预警偏离+5.0%</t>
  </si>
  <si>
    <t>20260610</t>
  </si>
  <si>
    <t>华泰柏瑞沪深300ETF</t>
  </si>
  <si>
    <t>📊权重预警偏离+6.2%</t>
  </si>
  <si>
    <t>📊权重预警偏离-5.3%</t>
  </si>
  <si>
    <t>-0.41%</t>
  </si>
  <si>
    <t>-2.57%</t>
  </si>
  <si>
    <t>+0.69%</t>
  </si>
  <si>
    <t>-1.13%</t>
  </si>
  <si>
    <t>-0.07%</t>
  </si>
  <si>
    <t>📊权重预警偏离+4.5%</t>
  </si>
  <si>
    <t>-0.05%</t>
  </si>
  <si>
    <t>📊权重预警偏离+4.3%</t>
  </si>
  <si>
    <t>-2.99%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</si>
</sst>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_ * #,##0.000_ ;_ * \-#,##0.000_ ;_ * &quot;-&quot;??.00_ ;_ @_ "/>
    <numFmt numFmtId="178" formatCode="_ * #,##0_ ;_ * \-#,##0_ ;_ * &quot;-&quot;??_ ;_ @_ "/>
    <numFmt numFmtId="179" formatCode="[$-409]yyyy\-mm\-dd;@"/>
    <numFmt numFmtId="180" formatCode="_ * #,##0.000_ ;_ * \-#,##0.000_ ;_ * &quot;-&quot;??.0_ ;_ @_ "/>
    <numFmt numFmtId="181" formatCode="0.0000%"/>
    <numFmt numFmtId="182" formatCode="0.000%"/>
    <numFmt numFmtId="183" formatCode="0.0000"/>
    <numFmt numFmtId="184" formatCode="_ * #,##0.00_ ;_ * \-#,##0.00_ ;_ * &quot;-&quot;??.00_ ;_ @_ "/>
  </numFmts>
  <fonts count="29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000000"/>
      <name val="宋体"/>
      <charset val="134"/>
    </font>
    <font>
      <b/>
      <sz val="14"/>
      <name val="微软雅黑"/>
      <charset val="134"/>
    </font>
    <font>
      <b/>
      <sz val="12"/>
      <name val="微软雅黑"/>
      <charset val="134"/>
    </font>
    <font>
      <i/>
      <sz val="9"/>
      <name val="微软雅黑"/>
      <charset val="134"/>
    </font>
    <font>
      <b/>
      <sz val="10"/>
      <color rgb="FFFFFFFF"/>
      <name val="微软雅黑"/>
      <charset val="134"/>
    </font>
    <font>
      <sz val="10"/>
      <name val="微软雅黑"/>
      <charset val="134"/>
    </font>
    <font>
      <sz val="9"/>
      <color rgb="FFCC0000"/>
      <name val="微软雅黑"/>
      <charset val="134"/>
    </font>
    <font>
      <sz val="9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2CC"/>
        <bgColor rgb="FFFFF2CC"/>
      </patternFill>
    </fill>
    <fill>
      <patternFill patternType="solid">
        <fgColor rgb="FF2F5496"/>
        <bgColor rgb="FF2F549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0" fillId="5" borderId="2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3">
      <alignment vertical="center"/>
    </xf>
    <xf numFmtId="0" fontId="16" fillId="0" borderId="3">
      <alignment vertical="center"/>
    </xf>
    <xf numFmtId="0" fontId="17" fillId="0" borderId="4">
      <alignment vertical="center"/>
    </xf>
    <xf numFmtId="0" fontId="17" fillId="0" borderId="0">
      <alignment vertical="center"/>
    </xf>
    <xf numFmtId="0" fontId="18" fillId="6" borderId="5">
      <alignment vertical="center"/>
    </xf>
    <xf numFmtId="0" fontId="19" fillId="7" borderId="6">
      <alignment vertical="center"/>
    </xf>
    <xf numFmtId="0" fontId="20" fillId="7" borderId="5">
      <alignment vertical="center"/>
    </xf>
    <xf numFmtId="0" fontId="21" fillId="8" borderId="7">
      <alignment vertical="center"/>
    </xf>
    <xf numFmtId="0" fontId="22" fillId="0" borderId="8">
      <alignment vertical="center"/>
    </xf>
    <xf numFmtId="0" fontId="23" fillId="0" borderId="9">
      <alignment vertical="center"/>
    </xf>
    <xf numFmtId="0" fontId="24" fillId="9" borderId="0">
      <alignment vertical="center"/>
    </xf>
    <xf numFmtId="0" fontId="25" fillId="10" borderId="0">
      <alignment vertical="center"/>
    </xf>
    <xf numFmtId="0" fontId="26" fillId="11" borderId="0">
      <alignment vertical="center"/>
    </xf>
    <xf numFmtId="0" fontId="27" fillId="12" borderId="0">
      <alignment vertical="center"/>
    </xf>
    <xf numFmtId="0" fontId="28" fillId="13" borderId="0">
      <alignment vertical="center"/>
    </xf>
    <xf numFmtId="0" fontId="28" fillId="14" borderId="0">
      <alignment vertical="center"/>
    </xf>
    <xf numFmtId="0" fontId="27" fillId="15" borderId="0">
      <alignment vertical="center"/>
    </xf>
    <xf numFmtId="0" fontId="27" fillId="16" borderId="0">
      <alignment vertical="center"/>
    </xf>
    <xf numFmtId="0" fontId="28" fillId="17" borderId="0">
      <alignment vertical="center"/>
    </xf>
    <xf numFmtId="0" fontId="28" fillId="18" borderId="0">
      <alignment vertical="center"/>
    </xf>
    <xf numFmtId="0" fontId="27" fillId="19" borderId="0">
      <alignment vertical="center"/>
    </xf>
    <xf numFmtId="0" fontId="27" fillId="20" borderId="0">
      <alignment vertical="center"/>
    </xf>
    <xf numFmtId="0" fontId="28" fillId="21" borderId="0">
      <alignment vertical="center"/>
    </xf>
    <xf numFmtId="0" fontId="28" fillId="22" borderId="0">
      <alignment vertical="center"/>
    </xf>
    <xf numFmtId="0" fontId="27" fillId="23" borderId="0">
      <alignment vertical="center"/>
    </xf>
    <xf numFmtId="0" fontId="27" fillId="24" borderId="0">
      <alignment vertical="center"/>
    </xf>
    <xf numFmtId="0" fontId="28" fillId="25" borderId="0">
      <alignment vertical="center"/>
    </xf>
    <xf numFmtId="0" fontId="28" fillId="26" borderId="0">
      <alignment vertical="center"/>
    </xf>
    <xf numFmtId="0" fontId="27" fillId="27" borderId="0">
      <alignment vertical="center"/>
    </xf>
    <xf numFmtId="0" fontId="27" fillId="28" borderId="0">
      <alignment vertical="center"/>
    </xf>
    <xf numFmtId="0" fontId="28" fillId="29" borderId="0">
      <alignment vertical="center"/>
    </xf>
    <xf numFmtId="0" fontId="28" fillId="30" borderId="0">
      <alignment vertical="center"/>
    </xf>
    <xf numFmtId="0" fontId="27" fillId="31" borderId="0">
      <alignment vertical="center"/>
    </xf>
    <xf numFmtId="0" fontId="27" fillId="32" borderId="0">
      <alignment vertical="center"/>
    </xf>
    <xf numFmtId="0" fontId="28" fillId="33" borderId="0">
      <alignment vertical="center"/>
    </xf>
    <xf numFmtId="0" fontId="28" fillId="34" borderId="0">
      <alignment vertical="center"/>
    </xf>
    <xf numFmtId="0" fontId="27" fillId="35" borderId="0">
      <alignment vertical="center"/>
    </xf>
  </cellStyleXfs>
  <cellXfs count="54">
    <xf numFmtId="0" fontId="0" fillId="0" borderId="0" xfId="0" applyAlignment="1">
      <alignment vertical="center"/>
    </xf>
    <xf numFmtId="0" fontId="0" fillId="0" borderId="0" xfId="0" applyAlignment="1"/>
    <xf numFmtId="176" fontId="0" fillId="0" borderId="0" xfId="0" applyNumberFormat="1" applyAlignment="1"/>
    <xf numFmtId="176" fontId="0" fillId="0" borderId="1" xfId="0" applyNumberFormat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77" fontId="0" fillId="0" borderId="1" xfId="0" applyNumberFormat="1" applyBorder="1" applyAlignment="1">
      <alignment vertical="center"/>
    </xf>
    <xf numFmtId="178" fontId="0" fillId="0" borderId="1" xfId="0" applyNumberFormat="1" applyBorder="1" applyAlignment="1">
      <alignment vertical="center"/>
    </xf>
    <xf numFmtId="43" fontId="0" fillId="0" borderId="1" xfId="0" applyNumberFormat="1" applyBorder="1" applyAlignment="1">
      <alignment vertical="center"/>
    </xf>
    <xf numFmtId="179" fontId="0" fillId="0" borderId="1" xfId="0" applyNumberFormat="1" applyBorder="1" applyAlignment="1">
      <alignment horizontal="left" vertical="center"/>
    </xf>
    <xf numFmtId="0" fontId="0" fillId="2" borderId="0" xfId="0" applyFill="1" applyAlignment="1">
      <alignment vertical="center"/>
    </xf>
    <xf numFmtId="177" fontId="0" fillId="0" borderId="0" xfId="0" applyNumberFormat="1" applyAlignment="1">
      <alignment vertical="center"/>
    </xf>
    <xf numFmtId="180" fontId="0" fillId="0" borderId="0" xfId="0" applyNumberFormat="1" applyAlignment="1">
      <alignment vertical="center"/>
    </xf>
    <xf numFmtId="178" fontId="0" fillId="0" borderId="0" xfId="0" applyNumberFormat="1" applyAlignment="1">
      <alignment vertical="center"/>
    </xf>
    <xf numFmtId="43" fontId="0" fillId="0" borderId="0" xfId="0" applyNumberFormat="1" applyAlignment="1">
      <alignment vertical="center"/>
    </xf>
    <xf numFmtId="181" fontId="0" fillId="0" borderId="0" xfId="3" applyNumberFormat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180" fontId="1" fillId="0" borderId="1" xfId="0" applyNumberFormat="1" applyFont="1" applyBorder="1" applyAlignment="1">
      <alignment horizontal="center" vertical="center" wrapText="1"/>
    </xf>
    <xf numFmtId="178" fontId="1" fillId="0" borderId="1" xfId="0" applyNumberFormat="1" applyFont="1" applyBorder="1" applyAlignment="1">
      <alignment horizontal="center" vertical="center" wrapText="1"/>
    </xf>
    <xf numFmtId="43" fontId="1" fillId="0" borderId="1" xfId="0" applyNumberFormat="1" applyFont="1" applyBorder="1" applyAlignment="1">
      <alignment horizontal="left" vertical="center" wrapText="1"/>
    </xf>
    <xf numFmtId="181" fontId="0" fillId="0" borderId="1" xfId="3" applyNumberFormat="1" applyBorder="1" applyAlignment="1">
      <alignment vertical="center"/>
    </xf>
    <xf numFmtId="0" fontId="0" fillId="2" borderId="1" xfId="0" applyFill="1" applyBorder="1" applyAlignment="1">
      <alignment vertical="center" wrapText="1"/>
    </xf>
    <xf numFmtId="43" fontId="0" fillId="2" borderId="1" xfId="0" applyNumberFormat="1" applyFill="1" applyBorder="1" applyAlignment="1">
      <alignment vertical="center" wrapText="1"/>
    </xf>
    <xf numFmtId="43" fontId="2" fillId="2" borderId="1" xfId="0" applyNumberFormat="1" applyFont="1" applyFill="1" applyBorder="1" applyAlignment="1">
      <alignment horizontal="center" vertical="center" wrapText="1"/>
    </xf>
    <xf numFmtId="9" fontId="2" fillId="2" borderId="1" xfId="0" applyNumberFormat="1" applyFont="1" applyFill="1" applyBorder="1" applyAlignment="1">
      <alignment horizontal="center" vertical="center" wrapText="1"/>
    </xf>
    <xf numFmtId="182" fontId="0" fillId="2" borderId="1" xfId="3" applyNumberFormat="1" applyFill="1" applyBorder="1" applyAlignment="1">
      <alignment vertical="center"/>
    </xf>
    <xf numFmtId="183" fontId="0" fillId="2" borderId="1" xfId="0" applyNumberFormat="1" applyFill="1" applyBorder="1" applyAlignment="1">
      <alignment vertical="center"/>
    </xf>
    <xf numFmtId="178" fontId="0" fillId="2" borderId="1" xfId="0" applyNumberFormat="1" applyFill="1" applyBorder="1" applyAlignment="1">
      <alignment vertical="center"/>
    </xf>
    <xf numFmtId="43" fontId="0" fillId="2" borderId="1" xfId="0" applyNumberFormat="1" applyFill="1" applyBorder="1" applyAlignment="1">
      <alignment vertical="center"/>
    </xf>
    <xf numFmtId="180" fontId="0" fillId="2" borderId="1" xfId="0" applyNumberFormat="1" applyFill="1" applyBorder="1" applyAlignment="1">
      <alignment vertical="center"/>
    </xf>
    <xf numFmtId="43" fontId="0" fillId="2" borderId="1" xfId="3" applyNumberFormat="1" applyFill="1" applyBorder="1" applyAlignment="1">
      <alignment vertical="center"/>
    </xf>
    <xf numFmtId="181" fontId="0" fillId="2" borderId="1" xfId="3" applyNumberFormat="1" applyFill="1" applyBorder="1" applyAlignment="1">
      <alignment vertical="center"/>
    </xf>
    <xf numFmtId="0" fontId="0" fillId="2" borderId="1" xfId="0" applyFill="1" applyBorder="1" applyAlignment="1">
      <alignment vertical="center"/>
    </xf>
    <xf numFmtId="43" fontId="0" fillId="0" borderId="1" xfId="0" applyNumberFormat="1" applyBorder="1" applyAlignment="1"/>
    <xf numFmtId="0" fontId="0" fillId="2" borderId="0" xfId="0" applyFill="1" applyAlignment="1"/>
    <xf numFmtId="0" fontId="0" fillId="0" borderId="1" xfId="0" applyBorder="1" applyAlignment="1">
      <alignment vertical="center" wrapText="1"/>
    </xf>
    <xf numFmtId="43" fontId="0" fillId="0" borderId="1" xfId="0" applyNumberFormat="1" applyBorder="1" applyAlignment="1">
      <alignment vertical="center" wrapText="1"/>
    </xf>
    <xf numFmtId="43" fontId="2" fillId="0" borderId="1" xfId="0" applyNumberFormat="1" applyFont="1" applyBorder="1" applyAlignment="1">
      <alignment horizontal="center" vertical="center" wrapText="1"/>
    </xf>
    <xf numFmtId="9" fontId="2" fillId="0" borderId="1" xfId="0" applyNumberFormat="1" applyFont="1" applyBorder="1" applyAlignment="1">
      <alignment horizontal="center" vertical="center" wrapText="1"/>
    </xf>
    <xf numFmtId="182" fontId="0" fillId="0" borderId="1" xfId="3" applyNumberFormat="1" applyBorder="1" applyAlignment="1">
      <alignment vertical="center"/>
    </xf>
    <xf numFmtId="180" fontId="0" fillId="0" borderId="1" xfId="0" applyNumberFormat="1" applyBorder="1" applyAlignment="1">
      <alignment vertical="center"/>
    </xf>
    <xf numFmtId="180" fontId="0" fillId="3" borderId="1" xfId="0" applyNumberFormat="1" applyFill="1" applyBorder="1" applyAlignment="1">
      <alignment vertical="center"/>
    </xf>
    <xf numFmtId="43" fontId="0" fillId="0" borderId="1" xfId="3" applyNumberFormat="1" applyBorder="1" applyAlignment="1">
      <alignment vertical="center"/>
    </xf>
    <xf numFmtId="183" fontId="0" fillId="0" borderId="1" xfId="0" applyNumberFormat="1" applyBorder="1" applyAlignment="1">
      <alignment vertical="center"/>
    </xf>
    <xf numFmtId="184" fontId="0" fillId="0" borderId="0" xfId="0" applyNumberFormat="1" applyAlignment="1">
      <alignment vertical="center"/>
    </xf>
    <xf numFmtId="0" fontId="3" fillId="0" borderId="0" xfId="0" applyFont="1" applyAlignment="1"/>
    <xf numFmtId="0" fontId="4" fillId="0" borderId="0" xfId="0" applyFont="1" applyAlignment="1"/>
    <xf numFmtId="0" fontId="5" fillId="0" borderId="0" xfId="0" applyFont="1" applyAlignment="1"/>
    <xf numFmtId="0" fontId="6" fillId="4" borderId="1" xfId="0" applyFont="1" applyFill="1" applyBorder="1" applyAlignment="1"/>
    <xf numFmtId="0" fontId="7" fillId="0" borderId="1" xfId="0" applyFont="1" applyBorder="1" applyAlignment="1"/>
    <xf numFmtId="0" fontId="8" fillId="0" borderId="0" xfId="0" applyFont="1" applyAlignment="1"/>
    <xf numFmtId="0" fontId="9" fillId="0" borderId="0" xfId="0" applyFont="1" applyAlignment="1"/>
    <xf numFmtId="0" fontId="7" fillId="0" borderId="0" xfId="0" applyFont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5"/>
  <sheetViews>
    <sheetView topLeftCell="A36" workbookViewId="0">
      <selection activeCell="A1" sqref="A1:E1"/>
    </sheetView>
  </sheetViews>
  <sheetFormatPr defaultColWidth="9" defaultRowHeight="14.4" outlineLevelCol="4"/>
  <cols>
    <col min="1" max="1" width="18" style="1" customWidth="1"/>
    <col min="2" max="2" width="30" style="1" customWidth="1"/>
    <col min="3" max="3" width="35" style="1" customWidth="1"/>
    <col min="4" max="4" width="25" style="1" customWidth="1"/>
    <col min="5" max="5" width="35" style="1" customWidth="1"/>
  </cols>
  <sheetData>
    <row r="1" ht="20" customHeight="1" spans="1:5">
      <c r="A1" s="46" t="s">
        <v>0</v>
      </c>
    </row>
    <row r="3" ht="16.5" customHeight="1" spans="1:5">
      <c r="A3" s="47" t="s">
        <v>1</v>
      </c>
    </row>
    <row r="4" spans="1:5">
      <c r="A4" s="48" t="s">
        <v>2</v>
      </c>
    </row>
    <row r="5" ht="14.5" customHeight="1" spans="1:5">
      <c r="A5" s="49" t="s">
        <v>3</v>
      </c>
      <c r="B5" s="49" t="s">
        <v>4</v>
      </c>
      <c r="C5" s="49" t="s">
        <v>5</v>
      </c>
      <c r="D5" s="49" t="s">
        <v>6</v>
      </c>
      <c r="E5" s="49" t="s">
        <v>7</v>
      </c>
    </row>
    <row r="6" ht="14.5" customHeight="1" spans="1:5">
      <c r="A6" s="50" t="s">
        <v>8</v>
      </c>
      <c r="B6" s="50" t="s">
        <v>9</v>
      </c>
      <c r="C6" s="50" t="s">
        <v>10</v>
      </c>
      <c r="D6" s="50" t="s">
        <v>11</v>
      </c>
      <c r="E6" s="50" t="s">
        <v>12</v>
      </c>
    </row>
    <row r="7" ht="14.5" customHeight="1" spans="1:5">
      <c r="A7" s="50" t="s">
        <v>13</v>
      </c>
      <c r="B7" s="50" t="s">
        <v>14</v>
      </c>
      <c r="C7" s="50" t="s">
        <v>15</v>
      </c>
      <c r="D7" s="50" t="s">
        <v>16</v>
      </c>
      <c r="E7" s="50" t="s">
        <v>17</v>
      </c>
    </row>
    <row r="8" ht="14.5" customHeight="1" spans="1:5">
      <c r="A8" s="50" t="s">
        <v>18</v>
      </c>
      <c r="B8" s="50" t="s">
        <v>19</v>
      </c>
      <c r="C8" s="50" t="s">
        <v>20</v>
      </c>
      <c r="D8" s="50" t="s">
        <v>21</v>
      </c>
      <c r="E8" s="50" t="s">
        <v>22</v>
      </c>
    </row>
    <row r="10" spans="1:5">
      <c r="A10" s="51" t="s">
        <v>23</v>
      </c>
    </row>
    <row r="12" ht="16.5" customHeight="1" spans="1:5">
      <c r="A12" s="47" t="s">
        <v>24</v>
      </c>
    </row>
    <row r="13" ht="14.5" customHeight="1" spans="1:5">
      <c r="A13" s="49" t="s">
        <v>3</v>
      </c>
      <c r="B13" s="49" t="s">
        <v>25</v>
      </c>
      <c r="C13" s="49" t="s">
        <v>26</v>
      </c>
      <c r="D13" s="49" t="s">
        <v>27</v>
      </c>
      <c r="E13" s="49" t="s">
        <v>28</v>
      </c>
    </row>
    <row r="14" ht="14.5" customHeight="1" spans="1:5">
      <c r="A14" s="50" t="s">
        <v>29</v>
      </c>
      <c r="B14" s="50" t="s">
        <v>30</v>
      </c>
      <c r="C14" s="50" t="s">
        <v>31</v>
      </c>
      <c r="D14" s="50" t="s">
        <v>32</v>
      </c>
      <c r="E14" s="50" t="s">
        <v>33</v>
      </c>
    </row>
    <row r="15" ht="14.5" customHeight="1" spans="1:5">
      <c r="A15" s="50" t="s">
        <v>34</v>
      </c>
      <c r="B15" s="50" t="s">
        <v>35</v>
      </c>
      <c r="C15" s="50" t="s">
        <v>36</v>
      </c>
      <c r="D15" s="50" t="s">
        <v>37</v>
      </c>
      <c r="E15" s="50" t="s">
        <v>38</v>
      </c>
    </row>
    <row r="16" ht="14.5" customHeight="1" spans="1:5">
      <c r="A16" s="50" t="s">
        <v>39</v>
      </c>
      <c r="B16" s="50" t="s">
        <v>40</v>
      </c>
      <c r="C16" s="50" t="s">
        <v>41</v>
      </c>
      <c r="D16" s="50" t="s">
        <v>42</v>
      </c>
      <c r="E16" s="50" t="s">
        <v>38</v>
      </c>
    </row>
    <row r="18" spans="1:5">
      <c r="A18" s="51" t="s">
        <v>43</v>
      </c>
    </row>
    <row r="20" ht="16.5" customHeight="1" spans="1:5">
      <c r="A20" s="47" t="s">
        <v>44</v>
      </c>
    </row>
    <row r="21" spans="1:5">
      <c r="A21" s="48" t="s">
        <v>45</v>
      </c>
    </row>
    <row r="23" ht="16.5" customHeight="1" spans="1:5">
      <c r="A23" s="47" t="s">
        <v>46</v>
      </c>
    </row>
    <row r="24" ht="14.5" customHeight="1" spans="1:5">
      <c r="A24" s="49" t="s">
        <v>47</v>
      </c>
      <c r="B24" s="49" t="s">
        <v>48</v>
      </c>
      <c r="C24" s="49" t="s">
        <v>49</v>
      </c>
      <c r="D24" s="49" t="s">
        <v>50</v>
      </c>
      <c r="E24" s="49" t="s">
        <v>28</v>
      </c>
    </row>
    <row r="25" ht="14.5" customHeight="1" spans="1:5">
      <c r="A25" s="50" t="s">
        <v>29</v>
      </c>
      <c r="B25" s="50" t="s">
        <v>51</v>
      </c>
      <c r="C25" s="50" t="s">
        <v>52</v>
      </c>
      <c r="D25" s="50" t="s">
        <v>53</v>
      </c>
      <c r="E25" s="50" t="s">
        <v>54</v>
      </c>
    </row>
    <row r="26" ht="14.5" customHeight="1" spans="1:5">
      <c r="A26" s="50" t="s">
        <v>55</v>
      </c>
      <c r="B26" s="50" t="s">
        <v>56</v>
      </c>
      <c r="C26" s="50" t="s">
        <v>57</v>
      </c>
      <c r="D26" s="50" t="s">
        <v>58</v>
      </c>
      <c r="E26" s="50" t="s">
        <v>59</v>
      </c>
    </row>
    <row r="27" ht="14.5" customHeight="1" spans="1:5">
      <c r="A27" s="50" t="s">
        <v>60</v>
      </c>
      <c r="B27" s="50" t="s">
        <v>61</v>
      </c>
      <c r="C27" s="50" t="s">
        <v>62</v>
      </c>
      <c r="D27" s="50" t="s">
        <v>63</v>
      </c>
      <c r="E27" s="50" t="s">
        <v>54</v>
      </c>
    </row>
    <row r="29" spans="1:5">
      <c r="A29" s="51" t="s">
        <v>64</v>
      </c>
    </row>
    <row r="30" spans="1:5">
      <c r="A30" s="52" t="s">
        <v>65</v>
      </c>
    </row>
    <row r="32" ht="16.5" customHeight="1" spans="1:5">
      <c r="A32" s="47" t="s">
        <v>66</v>
      </c>
    </row>
    <row r="33" ht="14.5" customHeight="1" spans="1:5">
      <c r="A33" s="49" t="s">
        <v>3</v>
      </c>
      <c r="B33" s="49" t="s">
        <v>67</v>
      </c>
      <c r="C33" s="49" t="s">
        <v>68</v>
      </c>
      <c r="D33" s="49" t="s">
        <v>69</v>
      </c>
      <c r="E33" s="49" t="s">
        <v>28</v>
      </c>
    </row>
    <row r="34" ht="14.5" customHeight="1" spans="1:5">
      <c r="A34" s="50" t="s">
        <v>70</v>
      </c>
      <c r="B34" s="50" t="s">
        <v>71</v>
      </c>
      <c r="C34" s="50" t="s">
        <v>72</v>
      </c>
      <c r="D34" s="50" t="s">
        <v>73</v>
      </c>
      <c r="E34" s="50" t="s">
        <v>33</v>
      </c>
    </row>
    <row r="35" ht="14.5" customHeight="1" spans="1:5">
      <c r="A35" s="50" t="s">
        <v>74</v>
      </c>
      <c r="B35" s="50" t="s">
        <v>35</v>
      </c>
      <c r="C35" s="50" t="s">
        <v>75</v>
      </c>
      <c r="D35" s="50" t="s">
        <v>76</v>
      </c>
      <c r="E35" s="50" t="s">
        <v>33</v>
      </c>
    </row>
    <row r="36" ht="14.5" customHeight="1" spans="1:5">
      <c r="A36" s="50" t="s">
        <v>77</v>
      </c>
      <c r="B36" s="50" t="s">
        <v>78</v>
      </c>
      <c r="C36" s="50" t="s">
        <v>79</v>
      </c>
      <c r="D36" s="50" t="s">
        <v>80</v>
      </c>
      <c r="E36" s="50" t="s">
        <v>81</v>
      </c>
    </row>
    <row r="37" ht="14.5" customHeight="1" spans="1:5">
      <c r="A37" s="50" t="s">
        <v>82</v>
      </c>
      <c r="B37" s="50" t="s">
        <v>40</v>
      </c>
      <c r="C37" s="50" t="s">
        <v>83</v>
      </c>
      <c r="D37" s="50" t="s">
        <v>84</v>
      </c>
      <c r="E37" s="50" t="s">
        <v>54</v>
      </c>
    </row>
    <row r="39" spans="1:5">
      <c r="A39" s="52" t="s">
        <v>85</v>
      </c>
    </row>
    <row r="40" spans="1:5">
      <c r="A40" s="51" t="s">
        <v>86</v>
      </c>
    </row>
    <row r="42" ht="16.5" customHeight="1" spans="1:5">
      <c r="A42" s="47" t="s">
        <v>87</v>
      </c>
    </row>
    <row r="43" ht="14.5" customHeight="1" spans="1:5">
      <c r="A43" s="49" t="s">
        <v>88</v>
      </c>
      <c r="B43" s="49" t="s">
        <v>5</v>
      </c>
      <c r="C43" s="49" t="s">
        <v>89</v>
      </c>
      <c r="D43" s="49" t="s">
        <v>90</v>
      </c>
      <c r="E43" s="49" t="s">
        <v>91</v>
      </c>
    </row>
    <row r="44" ht="14.5" customHeight="1" spans="1:5">
      <c r="A44" s="50" t="s">
        <v>92</v>
      </c>
      <c r="B44" s="50" t="s">
        <v>93</v>
      </c>
      <c r="C44" s="50" t="s">
        <v>94</v>
      </c>
      <c r="D44" s="50" t="s">
        <v>94</v>
      </c>
      <c r="E44" s="50" t="s">
        <v>95</v>
      </c>
    </row>
    <row r="45" ht="14.5" customHeight="1" spans="1:5">
      <c r="A45" s="50" t="s">
        <v>96</v>
      </c>
      <c r="B45" s="50" t="s">
        <v>97</v>
      </c>
      <c r="C45" s="50" t="s">
        <v>98</v>
      </c>
      <c r="D45" s="50" t="s">
        <v>99</v>
      </c>
      <c r="E45" s="50" t="s">
        <v>100</v>
      </c>
    </row>
    <row r="46" ht="14.5" customHeight="1" spans="1:5">
      <c r="A46" s="50" t="s">
        <v>101</v>
      </c>
      <c r="B46" s="50" t="s">
        <v>102</v>
      </c>
      <c r="C46" s="50" t="s">
        <v>103</v>
      </c>
      <c r="D46" s="50" t="s">
        <v>104</v>
      </c>
      <c r="E46" s="50" t="s">
        <v>105</v>
      </c>
    </row>
    <row r="47" ht="14.5" customHeight="1" spans="1:5">
      <c r="A47" s="50" t="s">
        <v>106</v>
      </c>
      <c r="B47" s="50" t="s">
        <v>107</v>
      </c>
      <c r="C47" s="50" t="s">
        <v>108</v>
      </c>
      <c r="D47" s="50" t="s">
        <v>109</v>
      </c>
      <c r="E47" s="50" t="s">
        <v>110</v>
      </c>
    </row>
    <row r="49" spans="1:1">
      <c r="A49" s="52" t="s">
        <v>111</v>
      </c>
    </row>
    <row r="51" ht="16.5" customHeight="1" spans="1:1">
      <c r="A51" s="47" t="s">
        <v>112</v>
      </c>
    </row>
    <row r="52" ht="14.5" customHeight="1" spans="1:1">
      <c r="A52" s="53" t="s">
        <v>113</v>
      </c>
    </row>
    <row r="54" ht="16.5" customHeight="1" spans="1:1">
      <c r="A54" s="47" t="s">
        <v>114</v>
      </c>
    </row>
    <row r="55" ht="14.5" customHeight="1" spans="1:1">
      <c r="A55" s="53" t="s">
        <v>115</v>
      </c>
    </row>
  </sheetData>
  <mergeCells count="20">
    <mergeCell ref="A1:E1"/>
    <mergeCell ref="A3:E3"/>
    <mergeCell ref="A4:E4"/>
    <mergeCell ref="A10:E10"/>
    <mergeCell ref="A12:E12"/>
    <mergeCell ref="A18:E18"/>
    <mergeCell ref="A20:E20"/>
    <mergeCell ref="A21:E21"/>
    <mergeCell ref="A23:E23"/>
    <mergeCell ref="A29:E29"/>
    <mergeCell ref="A30:E30"/>
    <mergeCell ref="A32:E32"/>
    <mergeCell ref="A39:E39"/>
    <mergeCell ref="A40:E40"/>
    <mergeCell ref="A42:E42"/>
    <mergeCell ref="A49:E49"/>
    <mergeCell ref="A51:E51"/>
    <mergeCell ref="A52:E52"/>
    <mergeCell ref="A54:E54"/>
    <mergeCell ref="A55:E55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1"/>
  <sheetViews>
    <sheetView tabSelected="1" workbookViewId="0">
      <selection activeCell="I19" sqref="I19"/>
    </sheetView>
  </sheetViews>
  <sheetFormatPr defaultColWidth="8.73148148148148" defaultRowHeight="14.4"/>
  <cols>
    <col min="1" max="1" width="7.5462962962963" style="1" customWidth="1"/>
    <col min="2" max="2" width="25.7777777777778" style="1" customWidth="1"/>
    <col min="3" max="3" width="16.2685185185185" style="1" hidden="1" customWidth="1"/>
    <col min="4" max="4" width="16.2685185185185" style="1" customWidth="1"/>
    <col min="5" max="5" width="12" style="1" customWidth="1"/>
    <col min="6" max="6" width="11.7777777777778" style="1" customWidth="1"/>
    <col min="7" max="7" width="9.66666666666667" style="1" customWidth="1"/>
    <col min="8" max="8" width="10.6388888888889" style="11" customWidth="1"/>
    <col min="9" max="9" width="10.6388888888889" style="12" customWidth="1"/>
    <col min="10" max="10" width="16.4444444444444" style="13" customWidth="1"/>
    <col min="11" max="11" width="14.2222222222222" style="14" customWidth="1"/>
    <col min="12" max="12" width="15.1851851851852" style="1" customWidth="1"/>
    <col min="13" max="13" width="10.6388888888889" style="14" customWidth="1"/>
    <col min="14" max="14" width="19.7777777777778" style="15" customWidth="1"/>
    <col min="15" max="15" width="16.4444444444444" style="1" customWidth="1"/>
    <col min="16" max="16" width="9.5462962962963" style="1" customWidth="1"/>
    <col min="17" max="18" width="12.8148148148148" style="1" customWidth="1"/>
  </cols>
  <sheetData>
    <row r="1" spans="1:18">
      <c r="A1" s="16" t="s">
        <v>116</v>
      </c>
      <c r="B1" s="16" t="s">
        <v>117</v>
      </c>
      <c r="C1" s="16" t="s">
        <v>118</v>
      </c>
      <c r="D1" s="4" t="s">
        <v>119</v>
      </c>
      <c r="E1" s="17" t="s">
        <v>120</v>
      </c>
      <c r="F1" s="17" t="s">
        <v>121</v>
      </c>
      <c r="G1" s="17" t="s">
        <v>122</v>
      </c>
      <c r="H1" s="18" t="s">
        <v>123</v>
      </c>
      <c r="I1" s="19" t="s">
        <v>124</v>
      </c>
      <c r="J1" s="20" t="s">
        <v>125</v>
      </c>
      <c r="K1" s="17" t="s">
        <v>126</v>
      </c>
      <c r="L1" s="20" t="s">
        <v>127</v>
      </c>
      <c r="M1" s="21" t="s">
        <v>128</v>
      </c>
      <c r="N1" s="17" t="s">
        <v>28</v>
      </c>
      <c r="O1" s="4" t="s">
        <v>129</v>
      </c>
    </row>
    <row r="2" s="10" customFormat="1" spans="1:18">
      <c r="A2" s="22">
        <v>510300</v>
      </c>
      <c r="B2" s="4" t="s">
        <v>130</v>
      </c>
      <c r="C2" s="23">
        <v>5000000</v>
      </c>
      <c r="D2" s="24">
        <f t="shared" ref="D2:D13" si="0">E2*C2</f>
        <v>750000</v>
      </c>
      <c r="E2" s="25">
        <v>0.15</v>
      </c>
      <c r="F2" s="26">
        <v>0.2187</v>
      </c>
      <c r="G2" s="26">
        <v>0.0687</v>
      </c>
      <c r="H2" s="27">
        <v>4.885</v>
      </c>
      <c r="I2" s="28">
        <v>153800</v>
      </c>
      <c r="J2" s="29">
        <v>751304</v>
      </c>
      <c r="K2" s="30">
        <v>4.784</v>
      </c>
      <c r="L2" s="31">
        <v>-15533.8</v>
      </c>
      <c r="M2" s="32">
        <v>-0.0207</v>
      </c>
      <c r="N2" s="33" t="s">
        <v>131</v>
      </c>
      <c r="O2" s="34"/>
      <c r="P2" s="35"/>
      <c r="Q2" s="35"/>
      <c r="R2" s="10">
        <v>42600</v>
      </c>
    </row>
    <row r="3" spans="1:18">
      <c r="A3" s="36">
        <v>510500</v>
      </c>
      <c r="B3" s="36" t="s">
        <v>132</v>
      </c>
      <c r="C3" s="37">
        <v>5000000</v>
      </c>
      <c r="D3" s="38">
        <f t="shared" si="0"/>
        <v>500000</v>
      </c>
      <c r="E3" s="39">
        <v>0.1</v>
      </c>
      <c r="F3" s="40">
        <v>0.0486</v>
      </c>
      <c r="G3" s="40">
        <v>-0.0514</v>
      </c>
      <c r="H3" s="41">
        <v>8.696</v>
      </c>
      <c r="I3" s="7">
        <v>20000</v>
      </c>
      <c r="J3" s="8">
        <f t="shared" ref="J2:J13" si="1">H3*I3</f>
        <v>173920</v>
      </c>
      <c r="K3" s="42">
        <v>8.171</v>
      </c>
      <c r="L3" s="43">
        <v>-10500</v>
      </c>
      <c r="M3" s="21">
        <v>-0.0604</v>
      </c>
      <c r="N3" s="4" t="s">
        <v>133</v>
      </c>
      <c r="O3" s="34">
        <f>D3-J3</f>
        <v>326080</v>
      </c>
      <c r="R3">
        <v>38700</v>
      </c>
    </row>
    <row r="4" spans="1:18">
      <c r="A4" s="36">
        <v>588050</v>
      </c>
      <c r="B4" s="36" t="s">
        <v>134</v>
      </c>
      <c r="C4" s="37">
        <v>5000000</v>
      </c>
      <c r="D4" s="38">
        <f t="shared" si="0"/>
        <v>250000</v>
      </c>
      <c r="E4" s="39">
        <v>0.05</v>
      </c>
      <c r="F4" s="40">
        <v>0.0303</v>
      </c>
      <c r="G4" s="40">
        <v>-0.0197</v>
      </c>
      <c r="H4" s="41">
        <v>1.838</v>
      </c>
      <c r="I4" s="7">
        <v>60000</v>
      </c>
      <c r="J4" s="8">
        <f t="shared" si="1"/>
        <v>110280</v>
      </c>
      <c r="K4" s="42">
        <v>1.699</v>
      </c>
      <c r="L4" s="43">
        <v>-8340</v>
      </c>
      <c r="M4" s="21">
        <v>-0.0756</v>
      </c>
      <c r="N4" s="4" t="s">
        <v>135</v>
      </c>
      <c r="O4" s="34">
        <f>D4-J4</f>
        <v>139720</v>
      </c>
      <c r="R4">
        <v>77900</v>
      </c>
    </row>
    <row r="5" s="10" customFormat="1" spans="1:18">
      <c r="A5" s="22">
        <v>159915</v>
      </c>
      <c r="B5" s="22" t="s">
        <v>136</v>
      </c>
      <c r="C5" s="23">
        <v>5000000</v>
      </c>
      <c r="D5" s="24">
        <f t="shared" si="0"/>
        <v>250000</v>
      </c>
      <c r="E5" s="25">
        <v>0.05</v>
      </c>
      <c r="F5" s="26">
        <v>0.0725</v>
      </c>
      <c r="G5" s="26">
        <v>0.0225</v>
      </c>
      <c r="H5" s="30">
        <v>3.968</v>
      </c>
      <c r="I5" s="28">
        <v>63000</v>
      </c>
      <c r="J5" s="29">
        <f t="shared" si="1"/>
        <v>249984</v>
      </c>
      <c r="K5" s="42">
        <v>3.87</v>
      </c>
      <c r="L5" s="31">
        <v>-6174</v>
      </c>
      <c r="M5" s="32">
        <v>-0.0247</v>
      </c>
      <c r="N5" s="33"/>
      <c r="O5" s="34"/>
    </row>
    <row r="6" s="10" customFormat="1" spans="1:18">
      <c r="A6" s="22">
        <v>512890</v>
      </c>
      <c r="B6" s="22" t="s">
        <v>137</v>
      </c>
      <c r="C6" s="23">
        <v>5000000</v>
      </c>
      <c r="D6" s="24">
        <f t="shared" si="0"/>
        <v>250000</v>
      </c>
      <c r="E6" s="25">
        <v>0.05</v>
      </c>
      <c r="F6" s="26">
        <v>0.076</v>
      </c>
      <c r="G6" s="26">
        <v>0.026</v>
      </c>
      <c r="H6" s="30">
        <v>1.15</v>
      </c>
      <c r="I6" s="28">
        <v>218000</v>
      </c>
      <c r="J6" s="29">
        <f t="shared" si="1"/>
        <v>250700</v>
      </c>
      <c r="K6" s="42">
        <v>1.172</v>
      </c>
      <c r="L6" s="31">
        <v>4796</v>
      </c>
      <c r="M6" s="32">
        <v>0.0191</v>
      </c>
      <c r="N6" s="33"/>
      <c r="O6" s="34"/>
    </row>
    <row r="7" spans="1:18">
      <c r="A7" s="36">
        <v>511380</v>
      </c>
      <c r="B7" s="36" t="s">
        <v>138</v>
      </c>
      <c r="C7" s="37">
        <v>5000000</v>
      </c>
      <c r="D7" s="38">
        <f t="shared" si="0"/>
        <v>500000</v>
      </c>
      <c r="E7" s="39">
        <v>0.1</v>
      </c>
      <c r="F7" s="40">
        <v>0.0594</v>
      </c>
      <c r="G7" s="40">
        <v>-0.0406</v>
      </c>
      <c r="H7" s="41">
        <v>13.8644</v>
      </c>
      <c r="I7" s="7">
        <v>14500</v>
      </c>
      <c r="J7" s="8">
        <v>201034</v>
      </c>
      <c r="K7" s="41">
        <v>13.77</v>
      </c>
      <c r="L7" s="43">
        <v>-1368.8</v>
      </c>
      <c r="M7" s="21">
        <v>-0.0068</v>
      </c>
      <c r="N7" s="4" t="s">
        <v>139</v>
      </c>
      <c r="O7" s="34">
        <f>D7-J7</f>
        <v>298966</v>
      </c>
    </row>
    <row r="8" s="10" customFormat="1" spans="1:18">
      <c r="A8" s="22">
        <v>511260</v>
      </c>
      <c r="B8" s="22" t="s">
        <v>140</v>
      </c>
      <c r="C8" s="23">
        <v>5000000</v>
      </c>
      <c r="D8" s="24">
        <f t="shared" si="0"/>
        <v>500000</v>
      </c>
      <c r="E8" s="25">
        <v>0.1</v>
      </c>
      <c r="F8" s="26">
        <v>0.1492</v>
      </c>
      <c r="G8" s="26">
        <v>0.0492</v>
      </c>
      <c r="H8" s="30">
        <v>135.645</v>
      </c>
      <c r="I8" s="28">
        <v>3700</v>
      </c>
      <c r="J8" s="29">
        <f t="shared" si="1"/>
        <v>501886.5</v>
      </c>
      <c r="K8" s="42">
        <v>135.653</v>
      </c>
      <c r="L8" s="31">
        <v>29.6</v>
      </c>
      <c r="M8" s="32">
        <v>0.0001</v>
      </c>
      <c r="N8" s="33" t="s">
        <v>141</v>
      </c>
      <c r="O8" s="34"/>
    </row>
    <row r="9" s="10" customFormat="1" spans="1:18">
      <c r="A9" s="22">
        <v>511010</v>
      </c>
      <c r="B9" s="22" t="s">
        <v>142</v>
      </c>
      <c r="C9" s="23">
        <v>5000000</v>
      </c>
      <c r="D9" s="24">
        <f t="shared" si="0"/>
        <v>500000</v>
      </c>
      <c r="E9" s="25">
        <v>0.1</v>
      </c>
      <c r="F9" s="26">
        <v>0.147</v>
      </c>
      <c r="G9" s="26">
        <v>0.047</v>
      </c>
      <c r="H9" s="30">
        <v>141.2121</v>
      </c>
      <c r="I9" s="28">
        <v>3500</v>
      </c>
      <c r="J9" s="29">
        <v>494242.4</v>
      </c>
      <c r="K9" s="42">
        <v>141.278</v>
      </c>
      <c r="L9" s="31">
        <v>230.65</v>
      </c>
      <c r="M9" s="32">
        <v>0.0005</v>
      </c>
      <c r="N9" s="33" t="s">
        <v>143</v>
      </c>
      <c r="O9" s="34"/>
    </row>
    <row r="10" s="10" customFormat="1" spans="1:18">
      <c r="A10" s="22">
        <v>511360</v>
      </c>
      <c r="B10" s="22" t="s">
        <v>144</v>
      </c>
      <c r="C10" s="23">
        <v>5000000</v>
      </c>
      <c r="D10" s="24">
        <f t="shared" si="0"/>
        <v>250000</v>
      </c>
      <c r="E10" s="25">
        <v>0.05</v>
      </c>
      <c r="F10" s="26">
        <v>0.0743</v>
      </c>
      <c r="G10" s="26">
        <v>0.0243</v>
      </c>
      <c r="H10" s="30">
        <v>113.462</v>
      </c>
      <c r="I10" s="28">
        <v>2200</v>
      </c>
      <c r="J10" s="29">
        <f t="shared" si="1"/>
        <v>249616.4</v>
      </c>
      <c r="K10" s="42">
        <v>113.56</v>
      </c>
      <c r="L10" s="31">
        <v>215.6</v>
      </c>
      <c r="M10" s="32">
        <v>0.0009</v>
      </c>
      <c r="N10" s="33"/>
      <c r="O10" s="34"/>
    </row>
    <row r="11" spans="1:18">
      <c r="A11" s="36">
        <v>518880</v>
      </c>
      <c r="B11" s="36" t="s">
        <v>145</v>
      </c>
      <c r="C11" s="37">
        <v>5000000</v>
      </c>
      <c r="D11" s="38">
        <f t="shared" si="0"/>
        <v>750000</v>
      </c>
      <c r="E11" s="39">
        <v>0.15</v>
      </c>
      <c r="F11" s="40">
        <v>0.1241</v>
      </c>
      <c r="G11" s="40">
        <v>-0.0259</v>
      </c>
      <c r="H11" s="44">
        <v>9.3302</v>
      </c>
      <c r="I11" s="7">
        <v>47800</v>
      </c>
      <c r="J11" s="8">
        <v>445988.4</v>
      </c>
      <c r="K11" s="42">
        <v>8.736</v>
      </c>
      <c r="L11" s="43">
        <v>-28402.76</v>
      </c>
      <c r="M11" s="21">
        <v>-0.0637</v>
      </c>
      <c r="N11" s="4"/>
      <c r="O11" s="34">
        <f>D11-J11</f>
        <v>304011.6</v>
      </c>
    </row>
    <row r="12" spans="1:18">
      <c r="A12" s="36">
        <v>511880</v>
      </c>
      <c r="B12" s="36" t="s">
        <v>146</v>
      </c>
      <c r="C12" s="37">
        <v>5000000</v>
      </c>
      <c r="D12" s="38">
        <f t="shared" si="0"/>
        <v>250000</v>
      </c>
      <c r="E12" s="39">
        <v>0.05</v>
      </c>
      <c r="F12" s="40">
        <v>0</v>
      </c>
      <c r="G12" s="40">
        <v>-0.05</v>
      </c>
      <c r="H12" s="41"/>
      <c r="I12" s="7"/>
      <c r="J12" s="8">
        <f t="shared" si="1"/>
        <v>0</v>
      </c>
      <c r="K12" s="41">
        <v>100.517</v>
      </c>
      <c r="L12" s="43">
        <v>0</v>
      </c>
      <c r="M12" s="21">
        <v>0</v>
      </c>
      <c r="N12" s="4" t="s">
        <v>147</v>
      </c>
      <c r="O12" s="34">
        <f>D12-J12</f>
        <v>250000</v>
      </c>
    </row>
    <row r="13" spans="1:18">
      <c r="A13" s="36">
        <v>511990</v>
      </c>
      <c r="B13" s="36" t="s">
        <v>148</v>
      </c>
      <c r="C13" s="37">
        <v>5000000</v>
      </c>
      <c r="D13" s="38">
        <f t="shared" si="0"/>
        <v>250000</v>
      </c>
      <c r="E13" s="39">
        <v>0.05</v>
      </c>
      <c r="F13" s="40">
        <v>0</v>
      </c>
      <c r="G13" s="40">
        <v>-0.05</v>
      </c>
      <c r="H13" s="41"/>
      <c r="I13" s="7"/>
      <c r="J13" s="8">
        <f t="shared" si="1"/>
        <v>0</v>
      </c>
      <c r="K13" s="42">
        <v>100.002</v>
      </c>
      <c r="L13" s="43">
        <v>0</v>
      </c>
      <c r="M13" s="21">
        <v>0</v>
      </c>
      <c r="N13" s="4" t="s">
        <v>147</v>
      </c>
      <c r="O13" s="34">
        <f>D13-J13</f>
        <v>250000</v>
      </c>
    </row>
    <row r="14" spans="1:18">
      <c r="A14" s="4" t="s">
        <v>33</v>
      </c>
      <c r="B14" s="4" t="s">
        <v>33</v>
      </c>
      <c r="C14" s="4" t="s">
        <v>33</v>
      </c>
      <c r="D14" s="8">
        <f>SUM(D2:D13)</f>
        <v>5000000</v>
      </c>
      <c r="E14" s="39"/>
      <c r="F14" s="39"/>
      <c r="G14" s="4" t="s">
        <v>33</v>
      </c>
      <c r="H14" s="41" t="s">
        <v>33</v>
      </c>
      <c r="I14" s="7" t="s">
        <v>33</v>
      </c>
      <c r="J14" s="8">
        <f>SUM(J2:J13)</f>
        <v>3428955.7</v>
      </c>
      <c r="K14" s="4"/>
      <c r="L14" s="8">
        <f>SUM(L2:L13)</f>
        <v>-65047.51</v>
      </c>
      <c r="M14" s="21">
        <f>L14/J14</f>
        <v>-0.0189700642676719</v>
      </c>
      <c r="N14" s="4" t="s">
        <v>33</v>
      </c>
      <c r="O14" s="8">
        <f>D14-J14</f>
        <v>1571044.3</v>
      </c>
    </row>
    <row r="17" spans="10:10">
      <c r="J17" s="45">
        <v>3428935.7</v>
      </c>
    </row>
    <row r="21" spans="10:10">
      <c r="J21" s="4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4"/>
  <sheetViews>
    <sheetView workbookViewId="0">
      <selection activeCell="E27" sqref="E27"/>
    </sheetView>
  </sheetViews>
  <sheetFormatPr defaultColWidth="9" defaultRowHeight="14.4" outlineLevelCol="5"/>
  <cols>
    <col min="1" max="1" width="20.8148148148148" style="2" customWidth="1"/>
    <col min="2" max="2" width="7.5462962962963" style="1" customWidth="1"/>
    <col min="3" max="3" width="12.9074074074074" style="1" customWidth="1"/>
    <col min="4" max="4" width="10.6388888888889" style="1" customWidth="1"/>
    <col min="5" max="6" width="14" style="1" customWidth="1"/>
  </cols>
  <sheetData>
    <row r="1" spans="1:6">
      <c r="A1" s="3" t="s">
        <v>149</v>
      </c>
      <c r="B1" s="4" t="s">
        <v>116</v>
      </c>
      <c r="C1" s="4" t="s">
        <v>117</v>
      </c>
      <c r="D1" s="4" t="s">
        <v>150</v>
      </c>
      <c r="E1" s="4" t="s">
        <v>124</v>
      </c>
      <c r="F1" s="4" t="s">
        <v>151</v>
      </c>
    </row>
    <row r="2" spans="1:6">
      <c r="A2" s="3" t="s">
        <v>152</v>
      </c>
      <c r="B2" s="5" t="s">
        <v>153</v>
      </c>
      <c r="C2" s="4" t="s">
        <v>154</v>
      </c>
      <c r="D2" s="6">
        <v>113.462</v>
      </c>
      <c r="E2" s="7">
        <v>2200</v>
      </c>
      <c r="F2" s="8">
        <f t="shared" ref="F2:F15" si="0">D2*E2</f>
        <v>249616.4</v>
      </c>
    </row>
    <row r="3" spans="1:6">
      <c r="A3" s="3" t="s">
        <v>152</v>
      </c>
      <c r="B3" s="5" t="s">
        <v>155</v>
      </c>
      <c r="C3" s="4" t="s">
        <v>145</v>
      </c>
      <c r="D3" s="6">
        <v>9.498</v>
      </c>
      <c r="E3" s="7">
        <v>15800</v>
      </c>
      <c r="F3" s="8">
        <f t="shared" si="0"/>
        <v>150068.4</v>
      </c>
    </row>
    <row r="4" spans="1:6">
      <c r="A4" s="3" t="s">
        <v>156</v>
      </c>
      <c r="B4" s="5" t="s">
        <v>157</v>
      </c>
      <c r="C4" s="4" t="s">
        <v>158</v>
      </c>
      <c r="D4" s="6">
        <v>141.253</v>
      </c>
      <c r="E4" s="7">
        <v>800</v>
      </c>
      <c r="F4" s="8">
        <f t="shared" si="0"/>
        <v>113002.4</v>
      </c>
    </row>
    <row r="5" spans="1:6">
      <c r="A5" s="3" t="s">
        <v>159</v>
      </c>
      <c r="B5" s="5" t="s">
        <v>160</v>
      </c>
      <c r="C5" s="4" t="s">
        <v>161</v>
      </c>
      <c r="D5" s="6">
        <v>135.645</v>
      </c>
      <c r="E5" s="7">
        <v>3700</v>
      </c>
      <c r="F5" s="8">
        <f t="shared" si="0"/>
        <v>501886.5</v>
      </c>
    </row>
    <row r="6" spans="1:6">
      <c r="A6" s="3" t="s">
        <v>159</v>
      </c>
      <c r="B6" s="5" t="s">
        <v>162</v>
      </c>
      <c r="C6" s="4" t="s">
        <v>130</v>
      </c>
      <c r="D6" s="6">
        <v>4.942</v>
      </c>
      <c r="E6" s="7">
        <v>70000</v>
      </c>
      <c r="F6" s="8">
        <f t="shared" si="0"/>
        <v>345940</v>
      </c>
    </row>
    <row r="7" spans="1:6">
      <c r="A7" s="3" t="s">
        <v>159</v>
      </c>
      <c r="B7" s="5" t="s">
        <v>163</v>
      </c>
      <c r="C7" s="4" t="s">
        <v>164</v>
      </c>
      <c r="D7" s="6">
        <v>3.968</v>
      </c>
      <c r="E7" s="7">
        <v>63000</v>
      </c>
      <c r="F7" s="8">
        <f t="shared" si="0"/>
        <v>249984</v>
      </c>
    </row>
    <row r="8" spans="1:6">
      <c r="A8" s="3" t="s">
        <v>159</v>
      </c>
      <c r="B8" s="5" t="s">
        <v>165</v>
      </c>
      <c r="C8" s="4" t="s">
        <v>166</v>
      </c>
      <c r="D8" s="6">
        <v>8.696</v>
      </c>
      <c r="E8" s="7">
        <v>4000</v>
      </c>
      <c r="F8" s="8">
        <f t="shared" si="0"/>
        <v>34784</v>
      </c>
    </row>
    <row r="9" spans="1:6">
      <c r="A9" s="3" t="s">
        <v>159</v>
      </c>
      <c r="B9" s="5" t="s">
        <v>165</v>
      </c>
      <c r="C9" s="4" t="s">
        <v>166</v>
      </c>
      <c r="D9" s="6">
        <v>8.696</v>
      </c>
      <c r="E9" s="7">
        <v>16000</v>
      </c>
      <c r="F9" s="8">
        <f t="shared" si="0"/>
        <v>139136</v>
      </c>
    </row>
    <row r="10" spans="1:6">
      <c r="A10" s="3" t="s">
        <v>159</v>
      </c>
      <c r="B10" s="5" t="s">
        <v>162</v>
      </c>
      <c r="C10" s="4" t="s">
        <v>130</v>
      </c>
      <c r="D10" s="6">
        <v>4.865</v>
      </c>
      <c r="E10" s="7">
        <v>40000</v>
      </c>
      <c r="F10" s="8">
        <f t="shared" si="0"/>
        <v>194600</v>
      </c>
    </row>
    <row r="11" spans="1:6">
      <c r="A11" s="3" t="s">
        <v>159</v>
      </c>
      <c r="B11" s="5" t="s">
        <v>167</v>
      </c>
      <c r="C11" s="4" t="s">
        <v>134</v>
      </c>
      <c r="D11" s="6">
        <v>1.838</v>
      </c>
      <c r="E11" s="7">
        <v>60000</v>
      </c>
      <c r="F11" s="8">
        <f t="shared" si="0"/>
        <v>110280</v>
      </c>
    </row>
    <row r="12" spans="1:6">
      <c r="A12" s="3" t="s">
        <v>159</v>
      </c>
      <c r="B12" s="5" t="s">
        <v>157</v>
      </c>
      <c r="C12" s="4" t="s">
        <v>158</v>
      </c>
      <c r="D12" s="6">
        <v>141.2</v>
      </c>
      <c r="E12" s="7">
        <v>2700</v>
      </c>
      <c r="F12" s="8">
        <f t="shared" si="0"/>
        <v>381240</v>
      </c>
    </row>
    <row r="13" spans="1:6">
      <c r="A13" s="9" t="s">
        <v>168</v>
      </c>
      <c r="B13" s="5">
        <v>512890</v>
      </c>
      <c r="C13" s="4" t="s">
        <v>137</v>
      </c>
      <c r="D13" s="6">
        <v>1.15</v>
      </c>
      <c r="E13" s="7">
        <v>218000</v>
      </c>
      <c r="F13" s="8">
        <f t="shared" si="0"/>
        <v>250700</v>
      </c>
    </row>
    <row r="14" spans="1:6">
      <c r="A14" s="9" t="s">
        <v>169</v>
      </c>
      <c r="B14" s="5">
        <v>518880</v>
      </c>
      <c r="C14" s="4" t="s">
        <v>145</v>
      </c>
      <c r="D14" s="6">
        <v>9.455</v>
      </c>
      <c r="E14" s="7">
        <v>8000</v>
      </c>
      <c r="F14" s="8">
        <f t="shared" si="0"/>
        <v>75640</v>
      </c>
    </row>
    <row r="15" spans="1:6">
      <c r="A15" s="3" t="s">
        <v>170</v>
      </c>
      <c r="B15" s="5">
        <v>518880</v>
      </c>
      <c r="C15" s="4" t="s">
        <v>145</v>
      </c>
      <c r="D15" s="6">
        <v>9.385</v>
      </c>
      <c r="E15" s="7">
        <v>8000</v>
      </c>
      <c r="F15" s="8">
        <f t="shared" si="0"/>
        <v>75080</v>
      </c>
    </row>
    <row r="16" spans="1:6">
      <c r="A16" s="3" t="s">
        <v>171</v>
      </c>
      <c r="B16" s="5">
        <v>518880</v>
      </c>
      <c r="C16" s="4" t="s">
        <v>145</v>
      </c>
      <c r="D16" s="6">
        <v>9.15</v>
      </c>
      <c r="E16" s="7">
        <v>8000</v>
      </c>
      <c r="F16" s="8">
        <v>73200</v>
      </c>
    </row>
    <row r="17" spans="1:6">
      <c r="A17" s="3" t="s">
        <v>171</v>
      </c>
      <c r="B17" s="5">
        <v>511990</v>
      </c>
      <c r="C17" s="4" t="s">
        <v>148</v>
      </c>
      <c r="D17" s="6">
        <v>99.997</v>
      </c>
      <c r="E17" s="7">
        <v>2500</v>
      </c>
      <c r="F17" s="8">
        <v>249992.5</v>
      </c>
    </row>
    <row r="18" spans="1:6">
      <c r="A18" s="3" t="s">
        <v>172</v>
      </c>
      <c r="B18" s="5" t="s">
        <v>173</v>
      </c>
      <c r="C18" s="4" t="s">
        <v>138</v>
      </c>
      <c r="D18" s="6">
        <v>13.95</v>
      </c>
      <c r="E18" s="7">
        <v>7200</v>
      </c>
      <c r="F18" s="8">
        <f>D18*E18</f>
        <v>100440</v>
      </c>
    </row>
    <row r="19" spans="1:6">
      <c r="A19" s="3" t="s">
        <v>172</v>
      </c>
      <c r="B19" s="5" t="s">
        <v>174</v>
      </c>
      <c r="C19" s="4" t="s">
        <v>148</v>
      </c>
      <c r="D19" s="6">
        <v>100.005</v>
      </c>
      <c r="E19" s="7">
        <v>-2500</v>
      </c>
      <c r="F19" s="8">
        <f>D19*E19</f>
        <v>-250012.5</v>
      </c>
    </row>
    <row r="20" spans="1:6">
      <c r="A20" s="3" t="s">
        <v>172</v>
      </c>
      <c r="B20" s="5">
        <v>510300</v>
      </c>
      <c r="C20" s="4" t="s">
        <v>130</v>
      </c>
      <c r="D20" s="6">
        <v>4.85</v>
      </c>
      <c r="E20" s="7">
        <v>20000</v>
      </c>
      <c r="F20" s="8">
        <f>D20*E20</f>
        <v>97000</v>
      </c>
    </row>
    <row r="21" spans="1:6">
      <c r="A21" s="3" t="s">
        <v>175</v>
      </c>
      <c r="B21" s="5" t="s">
        <v>155</v>
      </c>
      <c r="C21" s="4" t="s">
        <v>145</v>
      </c>
      <c r="D21" s="6">
        <v>9</v>
      </c>
      <c r="E21" s="7">
        <v>8000</v>
      </c>
      <c r="F21" s="8">
        <f>D21*E21</f>
        <v>72000</v>
      </c>
    </row>
    <row r="22" spans="1:6">
      <c r="A22" s="3" t="s">
        <v>175</v>
      </c>
      <c r="B22" s="5" t="s">
        <v>162</v>
      </c>
      <c r="C22" s="4" t="s">
        <v>130</v>
      </c>
      <c r="D22" s="6">
        <v>4.78</v>
      </c>
      <c r="E22" s="7">
        <v>23800</v>
      </c>
      <c r="F22" s="8">
        <f>D22*E22</f>
        <v>113764</v>
      </c>
    </row>
    <row r="23" spans="1:6">
      <c r="A23" s="3" t="s">
        <v>176</v>
      </c>
      <c r="B23" s="5" t="s">
        <v>173</v>
      </c>
      <c r="C23" s="4" t="s">
        <v>138</v>
      </c>
      <c r="D23" s="6">
        <v>13.78</v>
      </c>
      <c r="E23" s="7">
        <v>7300</v>
      </c>
      <c r="F23" s="8">
        <v>100594</v>
      </c>
    </row>
    <row r="24" spans="1:6">
      <c r="F24" s="1">
        <f>SUM(F2:F23)</f>
        <v>3428935.7</v>
      </c>
    </row>
  </sheetData>
  <autoFilter xmlns:etc="http://www.wps.cn/officeDocument/2017/etCustomData" ref="A1:F24" etc:filterBottomFollowUsedRange="0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63"/>
  <sheetViews>
    <sheetView topLeftCell="A103" workbookViewId="0">
      <selection activeCell="I5" sqref="I5"/>
    </sheetView>
  </sheetViews>
  <sheetFormatPr defaultColWidth="9" defaultRowHeight="14.4"/>
  <cols>
    <col min="1" max="1" width="11.8148148148148" style="1" customWidth="1"/>
    <col min="2" max="2" width="9.5462962962963" style="1" customWidth="1"/>
    <col min="3" max="3" width="10.6388888888889" style="1" customWidth="1"/>
    <col min="4" max="4" width="9.5462962962963" style="1" customWidth="1"/>
    <col min="5" max="5" width="8.5462962962963" style="1" customWidth="1"/>
    <col min="6" max="7" width="9.5462962962963" style="1" customWidth="1"/>
    <col min="8" max="8" width="7.5462962962963" style="1" customWidth="1"/>
    <col min="9" max="10" width="9.5462962962963" style="1" customWidth="1"/>
    <col min="11" max="11" width="8.5462962962963" style="1" customWidth="1"/>
    <col min="12" max="13" width="9.5462962962963" style="1" customWidth="1"/>
    <col min="14" max="14" width="7.5462962962963" style="1" customWidth="1"/>
    <col min="15" max="15" width="9.5462962962963" style="1" customWidth="1"/>
  </cols>
  <sheetData>
    <row r="1" spans="1:17">
      <c r="A1" t="s">
        <v>149</v>
      </c>
      <c r="B1" t="s">
        <v>177</v>
      </c>
      <c r="C1" t="s">
        <v>116</v>
      </c>
      <c r="D1" t="s">
        <v>178</v>
      </c>
      <c r="E1" t="s">
        <v>123</v>
      </c>
      <c r="F1" t="s">
        <v>179</v>
      </c>
      <c r="G1" t="s">
        <v>180</v>
      </c>
      <c r="H1" t="s">
        <v>181</v>
      </c>
      <c r="I1" t="s">
        <v>182</v>
      </c>
      <c r="J1" t="s">
        <v>183</v>
      </c>
      <c r="K1" t="s">
        <v>184</v>
      </c>
      <c r="L1" t="s">
        <v>120</v>
      </c>
      <c r="M1" t="s">
        <v>185</v>
      </c>
      <c r="N1" t="s">
        <v>122</v>
      </c>
      <c r="O1" t="s">
        <v>186</v>
      </c>
    </row>
    <row r="2" spans="1:17">
      <c r="A2" t="s">
        <v>156</v>
      </c>
      <c r="B2" t="s">
        <v>187</v>
      </c>
      <c r="C2" t="s">
        <v>188</v>
      </c>
      <c r="D2">
        <v>800</v>
      </c>
      <c r="E2">
        <v>141.253</v>
      </c>
      <c r="F2">
        <v>113002.4</v>
      </c>
      <c r="G2">
        <v>141.247</v>
      </c>
      <c r="H2" t="s">
        <v>189</v>
      </c>
      <c r="I2">
        <v>53</v>
      </c>
      <c r="J2">
        <v>112997.6</v>
      </c>
      <c r="K2">
        <v>-4.8</v>
      </c>
      <c r="L2" t="s">
        <v>190</v>
      </c>
      <c r="M2" t="s">
        <v>191</v>
      </c>
      <c r="N2" t="s">
        <v>192</v>
      </c>
      <c r="O2" t="s">
        <v>193</v>
      </c>
      <c r="P2" t="s">
        <v>194</v>
      </c>
      <c r="Q2" t="s">
        <v>194</v>
      </c>
    </row>
    <row r="3" spans="1:17">
      <c r="A3" t="s">
        <v>156</v>
      </c>
      <c r="B3" t="s">
        <v>195</v>
      </c>
      <c r="C3" t="s">
        <v>196</v>
      </c>
      <c r="D3">
        <v>2200</v>
      </c>
      <c r="E3">
        <v>113.462</v>
      </c>
      <c r="F3">
        <v>249616.4</v>
      </c>
      <c r="G3">
        <v>113.471</v>
      </c>
      <c r="H3" t="s">
        <v>197</v>
      </c>
      <c r="I3">
        <v>1609</v>
      </c>
      <c r="J3">
        <v>249636.2</v>
      </c>
      <c r="K3">
        <v>19.8</v>
      </c>
      <c r="L3" t="s">
        <v>198</v>
      </c>
      <c r="M3" t="s">
        <v>199</v>
      </c>
      <c r="N3" t="s">
        <v>200</v>
      </c>
      <c r="O3" t="s">
        <v>201</v>
      </c>
      <c r="P3" t="s">
        <v>194</v>
      </c>
      <c r="Q3" t="s">
        <v>194</v>
      </c>
    </row>
    <row r="4" spans="1:17">
      <c r="A4" t="s">
        <v>156</v>
      </c>
      <c r="B4" t="s">
        <v>202</v>
      </c>
      <c r="C4" t="s">
        <v>203</v>
      </c>
      <c r="D4">
        <v>15800</v>
      </c>
      <c r="E4">
        <v>9.498</v>
      </c>
      <c r="F4">
        <v>150068.4</v>
      </c>
      <c r="G4">
        <v>9.515</v>
      </c>
      <c r="H4" t="s">
        <v>204</v>
      </c>
      <c r="I4">
        <v>252</v>
      </c>
      <c r="J4">
        <v>150337</v>
      </c>
      <c r="K4">
        <v>268.6</v>
      </c>
      <c r="L4" t="s">
        <v>205</v>
      </c>
      <c r="M4" t="s">
        <v>206</v>
      </c>
      <c r="N4" t="s">
        <v>207</v>
      </c>
      <c r="O4" t="s">
        <v>208</v>
      </c>
      <c r="P4" t="s">
        <v>194</v>
      </c>
      <c r="Q4" t="s">
        <v>194</v>
      </c>
    </row>
    <row r="5" spans="1:17">
      <c r="A5" t="s">
        <v>209</v>
      </c>
      <c r="B5" t="s">
        <v>187</v>
      </c>
      <c r="C5" t="s">
        <v>188</v>
      </c>
      <c r="D5">
        <v>800</v>
      </c>
      <c r="E5">
        <v>141.253</v>
      </c>
      <c r="F5">
        <v>494242.35</v>
      </c>
      <c r="G5">
        <v>141.278</v>
      </c>
      <c r="H5" t="s">
        <v>204</v>
      </c>
      <c r="I5">
        <v>21</v>
      </c>
      <c r="J5">
        <v>494473</v>
      </c>
      <c r="K5">
        <v>230.65</v>
      </c>
      <c r="L5" t="s">
        <v>210</v>
      </c>
      <c r="M5" t="s">
        <v>191</v>
      </c>
      <c r="N5" t="s">
        <v>211</v>
      </c>
      <c r="O5" t="s">
        <v>212</v>
      </c>
      <c r="P5" t="s">
        <v>194</v>
      </c>
      <c r="Q5" t="s">
        <v>194</v>
      </c>
    </row>
    <row r="6" spans="1:17">
      <c r="A6" t="s">
        <v>209</v>
      </c>
      <c r="B6" t="s">
        <v>195</v>
      </c>
      <c r="C6" t="s">
        <v>196</v>
      </c>
      <c r="D6">
        <v>2200</v>
      </c>
      <c r="E6">
        <v>113.462</v>
      </c>
      <c r="F6">
        <v>249616.4</v>
      </c>
      <c r="G6">
        <v>113.483</v>
      </c>
      <c r="H6" t="s">
        <v>197</v>
      </c>
      <c r="I6">
        <v>1301</v>
      </c>
      <c r="J6">
        <v>249662.6</v>
      </c>
      <c r="K6">
        <v>46.2</v>
      </c>
      <c r="L6" t="s">
        <v>213</v>
      </c>
      <c r="M6" t="s">
        <v>199</v>
      </c>
      <c r="N6" t="s">
        <v>214</v>
      </c>
      <c r="O6" t="s">
        <v>215</v>
      </c>
      <c r="P6" t="s">
        <v>194</v>
      </c>
      <c r="Q6" t="s">
        <v>194</v>
      </c>
    </row>
    <row r="7" spans="1:17">
      <c r="A7" t="s">
        <v>209</v>
      </c>
      <c r="B7" t="s">
        <v>202</v>
      </c>
      <c r="C7" t="s">
        <v>203</v>
      </c>
      <c r="D7">
        <v>15800</v>
      </c>
      <c r="E7">
        <v>9.498</v>
      </c>
      <c r="F7">
        <v>150068.4</v>
      </c>
      <c r="G7">
        <v>9.367</v>
      </c>
      <c r="H7" t="s">
        <v>216</v>
      </c>
      <c r="I7">
        <v>511</v>
      </c>
      <c r="J7">
        <v>147998.6</v>
      </c>
      <c r="K7">
        <v>-2069.8</v>
      </c>
      <c r="L7" t="s">
        <v>217</v>
      </c>
      <c r="M7" t="s">
        <v>206</v>
      </c>
      <c r="N7" t="s">
        <v>218</v>
      </c>
      <c r="O7" t="s">
        <v>219</v>
      </c>
      <c r="P7" t="s">
        <v>194</v>
      </c>
      <c r="Q7" t="s">
        <v>194</v>
      </c>
    </row>
    <row r="8" spans="1:17">
      <c r="A8" t="s">
        <v>159</v>
      </c>
      <c r="B8" t="s">
        <v>220</v>
      </c>
      <c r="C8" t="s">
        <v>221</v>
      </c>
      <c r="D8">
        <v>110000</v>
      </c>
      <c r="E8">
        <v>4.914</v>
      </c>
      <c r="F8">
        <v>540540</v>
      </c>
      <c r="G8">
        <v>4.808</v>
      </c>
      <c r="H8" t="s">
        <v>222</v>
      </c>
      <c r="I8">
        <v>591</v>
      </c>
      <c r="J8">
        <v>528880</v>
      </c>
      <c r="K8">
        <v>-11660</v>
      </c>
      <c r="L8" t="s">
        <v>223</v>
      </c>
      <c r="M8" t="s">
        <v>206</v>
      </c>
      <c r="N8" t="s">
        <v>224</v>
      </c>
      <c r="O8" t="s">
        <v>225</v>
      </c>
      <c r="P8" t="s">
        <v>194</v>
      </c>
      <c r="Q8" t="s">
        <v>194</v>
      </c>
    </row>
    <row r="9" spans="1:17">
      <c r="A9" t="s">
        <v>159</v>
      </c>
      <c r="B9" t="s">
        <v>226</v>
      </c>
      <c r="C9" t="s">
        <v>227</v>
      </c>
      <c r="D9">
        <v>20000</v>
      </c>
      <c r="E9">
        <v>8.696</v>
      </c>
      <c r="F9">
        <v>173920</v>
      </c>
      <c r="G9">
        <v>8.503</v>
      </c>
      <c r="H9" t="s">
        <v>228</v>
      </c>
      <c r="I9">
        <v>467</v>
      </c>
      <c r="J9">
        <v>170060</v>
      </c>
      <c r="K9">
        <v>-3860</v>
      </c>
      <c r="L9" t="s">
        <v>229</v>
      </c>
      <c r="M9" t="s">
        <v>191</v>
      </c>
      <c r="N9" t="s">
        <v>230</v>
      </c>
      <c r="O9" t="s">
        <v>231</v>
      </c>
      <c r="P9" t="s">
        <v>194</v>
      </c>
      <c r="Q9" t="s">
        <v>194</v>
      </c>
    </row>
    <row r="10" spans="1:17">
      <c r="A10" t="s">
        <v>159</v>
      </c>
      <c r="B10" t="s">
        <v>232</v>
      </c>
      <c r="C10" t="s">
        <v>233</v>
      </c>
      <c r="D10">
        <v>60000</v>
      </c>
      <c r="E10">
        <v>1.838</v>
      </c>
      <c r="F10">
        <v>110280</v>
      </c>
      <c r="G10">
        <v>1.811</v>
      </c>
      <c r="H10" t="s">
        <v>234</v>
      </c>
      <c r="I10">
        <v>75</v>
      </c>
      <c r="J10">
        <v>108660</v>
      </c>
      <c r="K10">
        <v>-1620</v>
      </c>
      <c r="L10" t="s">
        <v>235</v>
      </c>
      <c r="M10" t="s">
        <v>199</v>
      </c>
      <c r="N10" t="s">
        <v>236</v>
      </c>
      <c r="O10" t="s">
        <v>237</v>
      </c>
      <c r="P10" t="s">
        <v>194</v>
      </c>
      <c r="Q10" t="s">
        <v>194</v>
      </c>
    </row>
    <row r="11" spans="1:17">
      <c r="A11" t="s">
        <v>159</v>
      </c>
      <c r="B11" t="s">
        <v>238</v>
      </c>
      <c r="C11" t="s">
        <v>239</v>
      </c>
      <c r="D11">
        <v>63000</v>
      </c>
      <c r="E11">
        <v>3.968</v>
      </c>
      <c r="F11">
        <v>249984</v>
      </c>
      <c r="G11">
        <v>3.846</v>
      </c>
      <c r="H11" t="s">
        <v>240</v>
      </c>
      <c r="I11">
        <v>722</v>
      </c>
      <c r="J11">
        <v>242298</v>
      </c>
      <c r="K11">
        <v>-7686</v>
      </c>
      <c r="L11" t="s">
        <v>241</v>
      </c>
      <c r="M11" t="s">
        <v>199</v>
      </c>
      <c r="N11" t="s">
        <v>242</v>
      </c>
      <c r="O11" t="s">
        <v>243</v>
      </c>
      <c r="P11" t="s">
        <v>194</v>
      </c>
      <c r="Q11" t="s">
        <v>194</v>
      </c>
    </row>
    <row r="12" spans="1:17">
      <c r="A12" t="s">
        <v>159</v>
      </c>
      <c r="B12" t="s">
        <v>244</v>
      </c>
      <c r="C12" t="s">
        <v>245</v>
      </c>
      <c r="D12">
        <v>3700</v>
      </c>
      <c r="E12">
        <v>135.645</v>
      </c>
      <c r="F12">
        <v>501886.5</v>
      </c>
      <c r="G12">
        <v>135.522</v>
      </c>
      <c r="H12" t="s">
        <v>246</v>
      </c>
      <c r="I12">
        <v>277</v>
      </c>
      <c r="J12">
        <v>501431.4</v>
      </c>
      <c r="K12">
        <v>-455.1</v>
      </c>
      <c r="L12" t="s">
        <v>246</v>
      </c>
      <c r="M12" t="s">
        <v>191</v>
      </c>
      <c r="N12" t="s">
        <v>247</v>
      </c>
      <c r="O12" t="s">
        <v>248</v>
      </c>
      <c r="P12" t="s">
        <v>194</v>
      </c>
      <c r="Q12" t="s">
        <v>194</v>
      </c>
    </row>
    <row r="13" spans="1:17">
      <c r="A13" t="s">
        <v>159</v>
      </c>
      <c r="B13" t="s">
        <v>187</v>
      </c>
      <c r="C13" t="s">
        <v>188</v>
      </c>
      <c r="D13">
        <v>3500</v>
      </c>
      <c r="E13">
        <v>141.2121</v>
      </c>
      <c r="F13">
        <v>494242.35</v>
      </c>
      <c r="G13">
        <v>141.191</v>
      </c>
      <c r="H13" t="s">
        <v>249</v>
      </c>
      <c r="I13">
        <v>28</v>
      </c>
      <c r="J13">
        <v>494168.5</v>
      </c>
      <c r="K13">
        <v>-73.85</v>
      </c>
      <c r="L13" t="s">
        <v>250</v>
      </c>
      <c r="M13" t="s">
        <v>191</v>
      </c>
      <c r="N13" t="s">
        <v>251</v>
      </c>
      <c r="O13" t="s">
        <v>243</v>
      </c>
      <c r="P13" t="s">
        <v>194</v>
      </c>
      <c r="Q13" t="s">
        <v>194</v>
      </c>
    </row>
    <row r="14" spans="1:17">
      <c r="A14" t="s">
        <v>159</v>
      </c>
      <c r="B14" t="s">
        <v>195</v>
      </c>
      <c r="C14" t="s">
        <v>196</v>
      </c>
      <c r="D14">
        <v>2200</v>
      </c>
      <c r="E14">
        <v>113.462</v>
      </c>
      <c r="F14">
        <v>249616.4</v>
      </c>
      <c r="G14">
        <v>113.49</v>
      </c>
      <c r="H14" t="s">
        <v>197</v>
      </c>
      <c r="I14">
        <v>1156</v>
      </c>
      <c r="J14">
        <v>249678</v>
      </c>
      <c r="K14">
        <v>61.6</v>
      </c>
      <c r="L14" t="s">
        <v>213</v>
      </c>
      <c r="M14" t="s">
        <v>199</v>
      </c>
      <c r="N14" t="s">
        <v>252</v>
      </c>
      <c r="O14" t="s">
        <v>253</v>
      </c>
      <c r="P14" t="s">
        <v>194</v>
      </c>
      <c r="Q14" t="s">
        <v>194</v>
      </c>
    </row>
    <row r="15" spans="1:17">
      <c r="A15" t="s">
        <v>159</v>
      </c>
      <c r="B15" t="s">
        <v>202</v>
      </c>
      <c r="C15" t="s">
        <v>203</v>
      </c>
      <c r="D15">
        <v>15800</v>
      </c>
      <c r="E15">
        <v>9.498</v>
      </c>
      <c r="F15">
        <v>150068.4</v>
      </c>
      <c r="G15">
        <v>9.45</v>
      </c>
      <c r="H15" t="s">
        <v>254</v>
      </c>
      <c r="I15">
        <v>321</v>
      </c>
      <c r="J15">
        <v>149310</v>
      </c>
      <c r="K15">
        <v>-758.4</v>
      </c>
      <c r="L15" t="s">
        <v>255</v>
      </c>
      <c r="M15" t="s">
        <v>206</v>
      </c>
      <c r="N15" t="s">
        <v>256</v>
      </c>
      <c r="O15" t="s">
        <v>208</v>
      </c>
      <c r="P15" t="s">
        <v>194</v>
      </c>
      <c r="Q15" t="s">
        <v>194</v>
      </c>
    </row>
    <row r="16" spans="1:17">
      <c r="A16" t="s">
        <v>257</v>
      </c>
      <c r="B16" t="s">
        <v>220</v>
      </c>
      <c r="C16" t="s">
        <v>221</v>
      </c>
      <c r="D16">
        <v>110000</v>
      </c>
      <c r="E16">
        <v>4.914</v>
      </c>
      <c r="F16">
        <v>540540</v>
      </c>
      <c r="G16">
        <v>4.862</v>
      </c>
      <c r="H16" t="s">
        <v>258</v>
      </c>
      <c r="I16">
        <v>642</v>
      </c>
      <c r="J16">
        <v>534820</v>
      </c>
      <c r="K16">
        <v>-5720</v>
      </c>
      <c r="L16" t="s">
        <v>259</v>
      </c>
      <c r="M16" t="s">
        <v>206</v>
      </c>
      <c r="N16" t="s">
        <v>260</v>
      </c>
      <c r="O16" t="s">
        <v>261</v>
      </c>
      <c r="P16" t="s">
        <v>194</v>
      </c>
      <c r="Q16" t="s">
        <v>194</v>
      </c>
    </row>
    <row r="17" spans="1:17">
      <c r="A17" t="s">
        <v>257</v>
      </c>
      <c r="B17" t="s">
        <v>226</v>
      </c>
      <c r="C17" t="s">
        <v>227</v>
      </c>
      <c r="D17">
        <v>20000</v>
      </c>
      <c r="E17">
        <v>8.696</v>
      </c>
      <c r="F17">
        <v>173920</v>
      </c>
      <c r="G17">
        <v>8.658</v>
      </c>
      <c r="H17" t="s">
        <v>262</v>
      </c>
      <c r="I17">
        <v>682</v>
      </c>
      <c r="J17">
        <v>173160</v>
      </c>
      <c r="K17">
        <v>-760</v>
      </c>
      <c r="L17" t="s">
        <v>263</v>
      </c>
      <c r="M17" t="s">
        <v>191</v>
      </c>
      <c r="N17" t="s">
        <v>264</v>
      </c>
      <c r="O17" t="s">
        <v>265</v>
      </c>
      <c r="P17" t="s">
        <v>194</v>
      </c>
      <c r="Q17" t="s">
        <v>194</v>
      </c>
    </row>
    <row r="18" spans="1:17">
      <c r="A18" t="s">
        <v>257</v>
      </c>
      <c r="B18" t="s">
        <v>232</v>
      </c>
      <c r="C18" t="s">
        <v>233</v>
      </c>
      <c r="D18">
        <v>60000</v>
      </c>
      <c r="E18">
        <v>1.838</v>
      </c>
      <c r="F18">
        <v>110280</v>
      </c>
      <c r="G18">
        <v>1.838</v>
      </c>
      <c r="H18" t="s">
        <v>266</v>
      </c>
      <c r="I18">
        <v>92</v>
      </c>
      <c r="J18">
        <v>110280</v>
      </c>
      <c r="K18">
        <v>0</v>
      </c>
      <c r="L18" t="s">
        <v>267</v>
      </c>
      <c r="M18" t="s">
        <v>199</v>
      </c>
      <c r="N18" t="s">
        <v>268</v>
      </c>
      <c r="O18" t="s">
        <v>237</v>
      </c>
      <c r="P18" t="s">
        <v>194</v>
      </c>
      <c r="Q18" t="s">
        <v>194</v>
      </c>
    </row>
    <row r="19" spans="1:17">
      <c r="A19" t="s">
        <v>257</v>
      </c>
      <c r="B19" t="s">
        <v>238</v>
      </c>
      <c r="C19" t="s">
        <v>239</v>
      </c>
      <c r="D19">
        <v>63000</v>
      </c>
      <c r="E19">
        <v>3.968</v>
      </c>
      <c r="F19">
        <v>249984</v>
      </c>
      <c r="G19">
        <v>3.946</v>
      </c>
      <c r="H19" t="s">
        <v>269</v>
      </c>
      <c r="I19">
        <v>566</v>
      </c>
      <c r="J19">
        <v>248598</v>
      </c>
      <c r="K19">
        <v>-1386</v>
      </c>
      <c r="L19" t="s">
        <v>270</v>
      </c>
      <c r="M19" t="s">
        <v>199</v>
      </c>
      <c r="N19" t="s">
        <v>271</v>
      </c>
      <c r="O19" t="s">
        <v>201</v>
      </c>
      <c r="P19" t="s">
        <v>194</v>
      </c>
      <c r="Q19" t="s">
        <v>194</v>
      </c>
    </row>
    <row r="20" spans="1:17">
      <c r="A20" t="s">
        <v>257</v>
      </c>
      <c r="B20" t="s">
        <v>244</v>
      </c>
      <c r="C20" t="s">
        <v>245</v>
      </c>
      <c r="D20">
        <v>3700</v>
      </c>
      <c r="E20">
        <v>135.645</v>
      </c>
      <c r="F20">
        <v>501886.5</v>
      </c>
      <c r="G20">
        <v>135.475</v>
      </c>
      <c r="H20" t="s">
        <v>272</v>
      </c>
      <c r="I20">
        <v>623</v>
      </c>
      <c r="J20">
        <v>501257.5</v>
      </c>
      <c r="K20">
        <v>-629</v>
      </c>
      <c r="L20" t="s">
        <v>273</v>
      </c>
      <c r="M20" t="s">
        <v>191</v>
      </c>
      <c r="N20" t="s">
        <v>274</v>
      </c>
      <c r="O20" t="s">
        <v>253</v>
      </c>
      <c r="P20" t="s">
        <v>194</v>
      </c>
      <c r="Q20" t="s">
        <v>194</v>
      </c>
    </row>
    <row r="21" spans="1:17">
      <c r="A21" t="s">
        <v>257</v>
      </c>
      <c r="B21" t="s">
        <v>187</v>
      </c>
      <c r="C21" t="s">
        <v>188</v>
      </c>
      <c r="D21">
        <v>3500</v>
      </c>
      <c r="E21">
        <v>141.2121</v>
      </c>
      <c r="F21">
        <v>494242.35</v>
      </c>
      <c r="G21">
        <v>141.204</v>
      </c>
      <c r="H21" t="s">
        <v>197</v>
      </c>
      <c r="I21">
        <v>15</v>
      </c>
      <c r="J21">
        <v>494214</v>
      </c>
      <c r="K21">
        <v>-28.35</v>
      </c>
      <c r="L21" t="s">
        <v>250</v>
      </c>
      <c r="M21" t="s">
        <v>191</v>
      </c>
      <c r="N21" t="s">
        <v>275</v>
      </c>
      <c r="O21" t="s">
        <v>243</v>
      </c>
      <c r="P21" t="s">
        <v>194</v>
      </c>
      <c r="Q21" t="s">
        <v>194</v>
      </c>
    </row>
    <row r="22" spans="1:17">
      <c r="A22" t="s">
        <v>257</v>
      </c>
      <c r="B22" t="s">
        <v>195</v>
      </c>
      <c r="C22" t="s">
        <v>196</v>
      </c>
      <c r="D22">
        <v>2200</v>
      </c>
      <c r="E22">
        <v>113.462</v>
      </c>
      <c r="F22">
        <v>249616.4</v>
      </c>
      <c r="G22">
        <v>113.499</v>
      </c>
      <c r="H22" t="s">
        <v>197</v>
      </c>
      <c r="I22">
        <v>1312</v>
      </c>
      <c r="J22">
        <v>249697.8</v>
      </c>
      <c r="K22">
        <v>81.4</v>
      </c>
      <c r="L22" t="s">
        <v>276</v>
      </c>
      <c r="M22" t="s">
        <v>199</v>
      </c>
      <c r="N22" t="s">
        <v>277</v>
      </c>
      <c r="O22" t="s">
        <v>253</v>
      </c>
      <c r="P22" t="s">
        <v>194</v>
      </c>
      <c r="Q22" t="s">
        <v>194</v>
      </c>
    </row>
    <row r="23" spans="1:17">
      <c r="A23" t="s">
        <v>257</v>
      </c>
      <c r="B23" t="s">
        <v>202</v>
      </c>
      <c r="C23" t="s">
        <v>203</v>
      </c>
      <c r="D23">
        <v>15800</v>
      </c>
      <c r="E23">
        <v>9.498</v>
      </c>
      <c r="F23">
        <v>150068.4</v>
      </c>
      <c r="G23">
        <v>9.461</v>
      </c>
      <c r="H23" t="s">
        <v>278</v>
      </c>
      <c r="I23">
        <v>257</v>
      </c>
      <c r="J23">
        <v>149483.8</v>
      </c>
      <c r="K23">
        <v>-584.6</v>
      </c>
      <c r="L23" t="s">
        <v>279</v>
      </c>
      <c r="M23" t="s">
        <v>206</v>
      </c>
      <c r="N23" t="s">
        <v>256</v>
      </c>
      <c r="O23" t="s">
        <v>208</v>
      </c>
      <c r="P23" t="s">
        <v>194</v>
      </c>
      <c r="Q23" t="s">
        <v>194</v>
      </c>
    </row>
    <row r="24" spans="1:17">
      <c r="A24" t="s">
        <v>168</v>
      </c>
      <c r="B24" t="s">
        <v>220</v>
      </c>
      <c r="C24" t="s">
        <v>221</v>
      </c>
      <c r="D24">
        <v>110000</v>
      </c>
      <c r="E24">
        <v>4.914</v>
      </c>
      <c r="F24">
        <v>540540</v>
      </c>
      <c r="G24">
        <v>4.937</v>
      </c>
      <c r="H24" t="s">
        <v>280</v>
      </c>
      <c r="I24">
        <v>797</v>
      </c>
      <c r="J24">
        <v>543070</v>
      </c>
      <c r="K24">
        <v>2530</v>
      </c>
      <c r="L24" t="s">
        <v>281</v>
      </c>
      <c r="M24" t="s">
        <v>206</v>
      </c>
      <c r="N24" t="s">
        <v>282</v>
      </c>
      <c r="O24" t="s">
        <v>283</v>
      </c>
      <c r="P24" t="s">
        <v>194</v>
      </c>
      <c r="Q24" t="s">
        <v>194</v>
      </c>
    </row>
    <row r="25" spans="1:17">
      <c r="A25" t="s">
        <v>168</v>
      </c>
      <c r="B25" t="s">
        <v>226</v>
      </c>
      <c r="C25" t="s">
        <v>227</v>
      </c>
      <c r="D25">
        <v>20000</v>
      </c>
      <c r="E25">
        <v>8.696</v>
      </c>
      <c r="F25">
        <v>173920</v>
      </c>
      <c r="G25">
        <v>8.786</v>
      </c>
      <c r="H25" t="s">
        <v>284</v>
      </c>
      <c r="I25">
        <v>529</v>
      </c>
      <c r="J25">
        <v>175720</v>
      </c>
      <c r="K25">
        <v>1800</v>
      </c>
      <c r="L25" t="s">
        <v>285</v>
      </c>
      <c r="M25" t="s">
        <v>191</v>
      </c>
      <c r="N25" t="s">
        <v>286</v>
      </c>
      <c r="O25" t="s">
        <v>265</v>
      </c>
      <c r="P25" t="s">
        <v>194</v>
      </c>
      <c r="Q25" t="s">
        <v>194</v>
      </c>
    </row>
    <row r="26" spans="1:17">
      <c r="A26" t="s">
        <v>168</v>
      </c>
      <c r="B26" t="s">
        <v>232</v>
      </c>
      <c r="C26" t="s">
        <v>233</v>
      </c>
      <c r="D26">
        <v>60000</v>
      </c>
      <c r="E26">
        <v>1.838</v>
      </c>
      <c r="F26">
        <v>110280</v>
      </c>
      <c r="G26">
        <v>1.941</v>
      </c>
      <c r="H26" t="s">
        <v>287</v>
      </c>
      <c r="I26">
        <v>123</v>
      </c>
      <c r="J26">
        <v>116460</v>
      </c>
      <c r="K26">
        <v>6180</v>
      </c>
      <c r="L26" t="s">
        <v>288</v>
      </c>
      <c r="M26" t="s">
        <v>199</v>
      </c>
      <c r="N26" t="s">
        <v>289</v>
      </c>
      <c r="O26" t="s">
        <v>290</v>
      </c>
      <c r="P26" t="s">
        <v>194</v>
      </c>
      <c r="Q26" t="s">
        <v>194</v>
      </c>
    </row>
    <row r="27" spans="1:17">
      <c r="A27" t="s">
        <v>168</v>
      </c>
      <c r="B27" t="s">
        <v>238</v>
      </c>
      <c r="C27" t="s">
        <v>239</v>
      </c>
      <c r="D27">
        <v>63000</v>
      </c>
      <c r="E27">
        <v>3.968</v>
      </c>
      <c r="F27">
        <v>249984</v>
      </c>
      <c r="G27">
        <v>4.034</v>
      </c>
      <c r="H27" t="s">
        <v>291</v>
      </c>
      <c r="I27">
        <v>544</v>
      </c>
      <c r="J27">
        <v>254142</v>
      </c>
      <c r="K27">
        <v>4158</v>
      </c>
      <c r="L27" t="s">
        <v>292</v>
      </c>
      <c r="M27" t="s">
        <v>199</v>
      </c>
      <c r="N27" t="s">
        <v>293</v>
      </c>
      <c r="O27" t="s">
        <v>248</v>
      </c>
      <c r="P27" t="s">
        <v>194</v>
      </c>
      <c r="Q27" t="s">
        <v>194</v>
      </c>
    </row>
    <row r="28" spans="1:17">
      <c r="A28" t="s">
        <v>168</v>
      </c>
      <c r="B28" t="s">
        <v>244</v>
      </c>
      <c r="C28" t="s">
        <v>245</v>
      </c>
      <c r="D28">
        <v>3700</v>
      </c>
      <c r="E28">
        <v>135.645</v>
      </c>
      <c r="F28">
        <v>501886.5</v>
      </c>
      <c r="G28">
        <v>135.529</v>
      </c>
      <c r="H28" t="s">
        <v>294</v>
      </c>
      <c r="I28">
        <v>365</v>
      </c>
      <c r="J28">
        <v>501457.3</v>
      </c>
      <c r="K28">
        <v>-429.2</v>
      </c>
      <c r="L28" t="s">
        <v>246</v>
      </c>
      <c r="M28" t="s">
        <v>191</v>
      </c>
      <c r="N28" t="s">
        <v>295</v>
      </c>
      <c r="O28" t="s">
        <v>253</v>
      </c>
      <c r="P28" t="s">
        <v>194</v>
      </c>
      <c r="Q28" t="s">
        <v>194</v>
      </c>
    </row>
    <row r="29" spans="1:17">
      <c r="A29" t="s">
        <v>168</v>
      </c>
      <c r="B29" t="s">
        <v>187</v>
      </c>
      <c r="C29" t="s">
        <v>188</v>
      </c>
      <c r="D29">
        <v>3500</v>
      </c>
      <c r="E29">
        <v>141.2121</v>
      </c>
      <c r="F29">
        <v>494242.35</v>
      </c>
      <c r="G29">
        <v>141.176</v>
      </c>
      <c r="H29" t="s">
        <v>296</v>
      </c>
      <c r="I29">
        <v>23</v>
      </c>
      <c r="J29">
        <v>494116</v>
      </c>
      <c r="K29">
        <v>-126.35</v>
      </c>
      <c r="L29" t="s">
        <v>272</v>
      </c>
      <c r="M29" t="s">
        <v>191</v>
      </c>
      <c r="N29" t="s">
        <v>297</v>
      </c>
      <c r="O29" t="s">
        <v>243</v>
      </c>
      <c r="P29" t="s">
        <v>194</v>
      </c>
      <c r="Q29" t="s">
        <v>194</v>
      </c>
    </row>
    <row r="30" spans="1:17">
      <c r="A30" t="s">
        <v>168</v>
      </c>
      <c r="B30" t="s">
        <v>195</v>
      </c>
      <c r="C30" t="s">
        <v>196</v>
      </c>
      <c r="D30">
        <v>2200</v>
      </c>
      <c r="E30">
        <v>113.462</v>
      </c>
      <c r="F30">
        <v>249616.4</v>
      </c>
      <c r="G30">
        <v>113.501</v>
      </c>
      <c r="H30" t="s">
        <v>298</v>
      </c>
      <c r="I30">
        <v>1344</v>
      </c>
      <c r="J30">
        <v>249702.2</v>
      </c>
      <c r="K30">
        <v>85.8</v>
      </c>
      <c r="L30" t="s">
        <v>276</v>
      </c>
      <c r="M30" t="s">
        <v>199</v>
      </c>
      <c r="N30" t="s">
        <v>271</v>
      </c>
      <c r="O30" t="s">
        <v>201</v>
      </c>
      <c r="P30" t="s">
        <v>194</v>
      </c>
      <c r="Q30" t="s">
        <v>194</v>
      </c>
    </row>
    <row r="31" spans="1:17">
      <c r="A31" t="s">
        <v>168</v>
      </c>
      <c r="B31" t="s">
        <v>202</v>
      </c>
      <c r="C31" t="s">
        <v>203</v>
      </c>
      <c r="D31">
        <v>15800</v>
      </c>
      <c r="E31">
        <v>9.498</v>
      </c>
      <c r="F31">
        <v>150068.4</v>
      </c>
      <c r="G31">
        <v>9.512</v>
      </c>
      <c r="H31" t="s">
        <v>299</v>
      </c>
      <c r="I31">
        <v>227</v>
      </c>
      <c r="J31">
        <v>150289.6</v>
      </c>
      <c r="K31">
        <v>221.2</v>
      </c>
      <c r="L31" t="s">
        <v>300</v>
      </c>
      <c r="M31" t="s">
        <v>206</v>
      </c>
      <c r="N31" t="s">
        <v>256</v>
      </c>
      <c r="O31" t="s">
        <v>208</v>
      </c>
      <c r="P31" t="s">
        <v>194</v>
      </c>
      <c r="Q31" t="s">
        <v>194</v>
      </c>
    </row>
    <row r="32" spans="1:17">
      <c r="A32" t="s">
        <v>169</v>
      </c>
      <c r="B32" t="s">
        <v>220</v>
      </c>
      <c r="C32" t="s">
        <v>221</v>
      </c>
      <c r="D32">
        <v>110000</v>
      </c>
      <c r="E32">
        <v>4.914</v>
      </c>
      <c r="F32">
        <v>540540</v>
      </c>
      <c r="G32">
        <v>4.972</v>
      </c>
      <c r="H32" t="s">
        <v>301</v>
      </c>
      <c r="I32">
        <v>479</v>
      </c>
      <c r="J32">
        <v>546920</v>
      </c>
      <c r="K32">
        <v>6380</v>
      </c>
      <c r="L32" t="s">
        <v>302</v>
      </c>
      <c r="M32" t="s">
        <v>206</v>
      </c>
      <c r="N32" t="s">
        <v>303</v>
      </c>
      <c r="O32" t="s">
        <v>304</v>
      </c>
      <c r="P32" t="s">
        <v>194</v>
      </c>
      <c r="Q32" t="s">
        <v>194</v>
      </c>
    </row>
    <row r="33" spans="1:17">
      <c r="A33" t="s">
        <v>169</v>
      </c>
      <c r="B33" t="s">
        <v>226</v>
      </c>
      <c r="C33" t="s">
        <v>227</v>
      </c>
      <c r="D33">
        <v>20000</v>
      </c>
      <c r="E33">
        <v>8.696</v>
      </c>
      <c r="F33">
        <v>173920</v>
      </c>
      <c r="G33">
        <v>8.752</v>
      </c>
      <c r="H33" t="s">
        <v>279</v>
      </c>
      <c r="I33">
        <v>210</v>
      </c>
      <c r="J33">
        <v>175040</v>
      </c>
      <c r="K33">
        <v>1120</v>
      </c>
      <c r="L33" t="s">
        <v>305</v>
      </c>
      <c r="M33" t="s">
        <v>191</v>
      </c>
      <c r="N33" t="s">
        <v>306</v>
      </c>
      <c r="O33" t="s">
        <v>265</v>
      </c>
      <c r="P33" t="s">
        <v>194</v>
      </c>
      <c r="Q33" t="s">
        <v>194</v>
      </c>
    </row>
    <row r="34" spans="1:17">
      <c r="A34" t="s">
        <v>169</v>
      </c>
      <c r="B34" t="s">
        <v>232</v>
      </c>
      <c r="C34" t="s">
        <v>233</v>
      </c>
      <c r="D34">
        <v>60000</v>
      </c>
      <c r="E34">
        <v>1.838</v>
      </c>
      <c r="F34">
        <v>110280</v>
      </c>
      <c r="G34">
        <v>1.917</v>
      </c>
      <c r="H34" t="s">
        <v>307</v>
      </c>
      <c r="I34">
        <v>60</v>
      </c>
      <c r="J34">
        <v>115020</v>
      </c>
      <c r="K34">
        <v>4740</v>
      </c>
      <c r="L34" t="s">
        <v>308</v>
      </c>
      <c r="M34" t="s">
        <v>199</v>
      </c>
      <c r="N34" t="s">
        <v>309</v>
      </c>
      <c r="O34" t="s">
        <v>290</v>
      </c>
      <c r="P34" t="s">
        <v>194</v>
      </c>
      <c r="Q34" t="s">
        <v>194</v>
      </c>
    </row>
    <row r="35" spans="1:17">
      <c r="A35" t="s">
        <v>169</v>
      </c>
      <c r="B35" t="s">
        <v>238</v>
      </c>
      <c r="C35" t="s">
        <v>239</v>
      </c>
      <c r="D35">
        <v>63000</v>
      </c>
      <c r="E35">
        <v>3.968</v>
      </c>
      <c r="F35">
        <v>249984</v>
      </c>
      <c r="G35">
        <v>4.055</v>
      </c>
      <c r="H35" t="s">
        <v>310</v>
      </c>
      <c r="I35">
        <v>646</v>
      </c>
      <c r="J35">
        <v>255465</v>
      </c>
      <c r="K35">
        <v>5481</v>
      </c>
      <c r="L35" t="s">
        <v>311</v>
      </c>
      <c r="M35" t="s">
        <v>199</v>
      </c>
      <c r="N35" t="s">
        <v>312</v>
      </c>
      <c r="O35" t="s">
        <v>248</v>
      </c>
      <c r="P35" t="s">
        <v>194</v>
      </c>
      <c r="Q35" t="s">
        <v>194</v>
      </c>
    </row>
    <row r="36" spans="1:17">
      <c r="A36" t="s">
        <v>169</v>
      </c>
      <c r="B36" t="s">
        <v>313</v>
      </c>
      <c r="C36" t="s">
        <v>314</v>
      </c>
      <c r="D36">
        <v>218000</v>
      </c>
      <c r="E36">
        <v>1.15</v>
      </c>
      <c r="F36">
        <v>250700</v>
      </c>
      <c r="G36">
        <v>1.156</v>
      </c>
      <c r="H36" t="s">
        <v>315</v>
      </c>
      <c r="I36">
        <v>60</v>
      </c>
      <c r="J36">
        <v>252008</v>
      </c>
      <c r="K36">
        <v>1308</v>
      </c>
      <c r="L36" t="s">
        <v>316</v>
      </c>
      <c r="M36" t="s">
        <v>199</v>
      </c>
      <c r="N36" t="s">
        <v>252</v>
      </c>
      <c r="O36" t="s">
        <v>253</v>
      </c>
      <c r="P36" t="s">
        <v>194</v>
      </c>
      <c r="Q36" t="s">
        <v>194</v>
      </c>
    </row>
    <row r="37" spans="1:17">
      <c r="A37" t="s">
        <v>169</v>
      </c>
      <c r="B37" t="s">
        <v>244</v>
      </c>
      <c r="C37" t="s">
        <v>245</v>
      </c>
      <c r="D37">
        <v>3700</v>
      </c>
      <c r="E37">
        <v>135.645</v>
      </c>
      <c r="F37">
        <v>501886.5</v>
      </c>
      <c r="G37">
        <v>135.593</v>
      </c>
      <c r="H37" t="s">
        <v>317</v>
      </c>
      <c r="I37">
        <v>318</v>
      </c>
      <c r="J37">
        <v>501694.1</v>
      </c>
      <c r="K37">
        <v>-192.4</v>
      </c>
      <c r="L37" t="s">
        <v>318</v>
      </c>
      <c r="M37" t="s">
        <v>191</v>
      </c>
      <c r="N37" t="s">
        <v>295</v>
      </c>
      <c r="O37" t="s">
        <v>201</v>
      </c>
      <c r="P37" t="s">
        <v>194</v>
      </c>
      <c r="Q37" t="s">
        <v>194</v>
      </c>
    </row>
    <row r="38" spans="1:17">
      <c r="A38" t="s">
        <v>169</v>
      </c>
      <c r="B38" t="s">
        <v>187</v>
      </c>
      <c r="C38" t="s">
        <v>188</v>
      </c>
      <c r="D38">
        <v>3500</v>
      </c>
      <c r="E38">
        <v>141.2121</v>
      </c>
      <c r="F38">
        <v>494242.35</v>
      </c>
      <c r="G38">
        <v>141.23</v>
      </c>
      <c r="H38" t="s">
        <v>294</v>
      </c>
      <c r="I38">
        <v>14</v>
      </c>
      <c r="J38">
        <v>494305</v>
      </c>
      <c r="K38">
        <v>62.65</v>
      </c>
      <c r="L38" t="s">
        <v>198</v>
      </c>
      <c r="M38" t="s">
        <v>191</v>
      </c>
      <c r="N38" t="s">
        <v>297</v>
      </c>
      <c r="O38" t="s">
        <v>243</v>
      </c>
      <c r="P38" t="s">
        <v>194</v>
      </c>
      <c r="Q38" t="s">
        <v>194</v>
      </c>
    </row>
    <row r="39" spans="1:17">
      <c r="A39" t="s">
        <v>169</v>
      </c>
      <c r="B39" t="s">
        <v>195</v>
      </c>
      <c r="C39" t="s">
        <v>196</v>
      </c>
      <c r="D39">
        <v>2200</v>
      </c>
      <c r="E39">
        <v>113.462</v>
      </c>
      <c r="F39">
        <v>249616.4</v>
      </c>
      <c r="G39">
        <v>113.505</v>
      </c>
      <c r="H39" t="s">
        <v>298</v>
      </c>
      <c r="I39">
        <v>983</v>
      </c>
      <c r="J39">
        <v>249711</v>
      </c>
      <c r="K39">
        <v>94.6</v>
      </c>
      <c r="L39" t="s">
        <v>319</v>
      </c>
      <c r="M39" t="s">
        <v>199</v>
      </c>
      <c r="N39" t="s">
        <v>271</v>
      </c>
      <c r="O39" t="s">
        <v>201</v>
      </c>
      <c r="P39" t="s">
        <v>194</v>
      </c>
      <c r="Q39" t="s">
        <v>194</v>
      </c>
    </row>
    <row r="40" spans="1:17">
      <c r="A40" t="s">
        <v>169</v>
      </c>
      <c r="B40" t="s">
        <v>202</v>
      </c>
      <c r="C40" t="s">
        <v>203</v>
      </c>
      <c r="D40">
        <v>23800</v>
      </c>
      <c r="E40">
        <v>9.4835</v>
      </c>
      <c r="F40">
        <v>225707.3</v>
      </c>
      <c r="G40">
        <v>9.454</v>
      </c>
      <c r="H40" t="s">
        <v>320</v>
      </c>
      <c r="I40">
        <v>209</v>
      </c>
      <c r="J40">
        <v>225005.2</v>
      </c>
      <c r="K40">
        <v>-702.1</v>
      </c>
      <c r="L40" t="s">
        <v>321</v>
      </c>
      <c r="M40" t="s">
        <v>206</v>
      </c>
      <c r="N40" t="s">
        <v>322</v>
      </c>
      <c r="O40" t="s">
        <v>323</v>
      </c>
      <c r="P40" t="s">
        <v>194</v>
      </c>
      <c r="Q40" t="s">
        <v>194</v>
      </c>
    </row>
    <row r="41" spans="1:17">
      <c r="A41" t="s">
        <v>170</v>
      </c>
      <c r="B41" t="s">
        <v>220</v>
      </c>
      <c r="C41" t="s">
        <v>221</v>
      </c>
      <c r="D41">
        <v>110000</v>
      </c>
      <c r="E41">
        <v>4.914</v>
      </c>
      <c r="F41">
        <v>540540</v>
      </c>
      <c r="G41">
        <v>4.932</v>
      </c>
      <c r="H41" t="s">
        <v>324</v>
      </c>
      <c r="I41">
        <v>317</v>
      </c>
      <c r="J41">
        <v>542520</v>
      </c>
      <c r="K41">
        <v>1980</v>
      </c>
      <c r="L41" t="s">
        <v>325</v>
      </c>
      <c r="M41" t="s">
        <v>206</v>
      </c>
      <c r="N41" t="s">
        <v>326</v>
      </c>
      <c r="O41" t="s">
        <v>283</v>
      </c>
      <c r="P41" t="s">
        <v>194</v>
      </c>
      <c r="Q41" t="s">
        <v>194</v>
      </c>
    </row>
    <row r="42" spans="1:17">
      <c r="A42" t="s">
        <v>170</v>
      </c>
      <c r="B42" t="s">
        <v>226</v>
      </c>
      <c r="C42" t="s">
        <v>227</v>
      </c>
      <c r="D42">
        <v>20000</v>
      </c>
      <c r="E42">
        <v>8.696</v>
      </c>
      <c r="F42">
        <v>173920</v>
      </c>
      <c r="G42">
        <v>8.614</v>
      </c>
      <c r="H42" t="s">
        <v>327</v>
      </c>
      <c r="I42">
        <v>287</v>
      </c>
      <c r="J42">
        <v>172280</v>
      </c>
      <c r="K42">
        <v>-1640</v>
      </c>
      <c r="L42" t="s">
        <v>328</v>
      </c>
      <c r="M42" t="s">
        <v>191</v>
      </c>
      <c r="N42" t="s">
        <v>329</v>
      </c>
      <c r="O42" t="s">
        <v>231</v>
      </c>
      <c r="P42" t="s">
        <v>194</v>
      </c>
      <c r="Q42" t="s">
        <v>194</v>
      </c>
    </row>
    <row r="43" spans="1:17">
      <c r="A43" t="s">
        <v>170</v>
      </c>
      <c r="B43" t="s">
        <v>232</v>
      </c>
      <c r="C43" t="s">
        <v>233</v>
      </c>
      <c r="D43">
        <v>60000</v>
      </c>
      <c r="E43">
        <v>1.838</v>
      </c>
      <c r="F43">
        <v>110280</v>
      </c>
      <c r="G43">
        <v>1.863</v>
      </c>
      <c r="H43" t="s">
        <v>330</v>
      </c>
      <c r="I43">
        <v>42</v>
      </c>
      <c r="J43">
        <v>111780</v>
      </c>
      <c r="K43">
        <v>1500</v>
      </c>
      <c r="L43" t="s">
        <v>331</v>
      </c>
      <c r="M43" t="s">
        <v>199</v>
      </c>
      <c r="N43" t="s">
        <v>332</v>
      </c>
      <c r="O43" t="s">
        <v>237</v>
      </c>
      <c r="P43" t="s">
        <v>194</v>
      </c>
      <c r="Q43" t="s">
        <v>194</v>
      </c>
    </row>
    <row r="44" spans="1:17">
      <c r="A44" t="s">
        <v>170</v>
      </c>
      <c r="B44" t="s">
        <v>238</v>
      </c>
      <c r="C44" t="s">
        <v>239</v>
      </c>
      <c r="D44">
        <v>63000</v>
      </c>
      <c r="E44">
        <v>3.968</v>
      </c>
      <c r="F44">
        <v>249984</v>
      </c>
      <c r="G44">
        <v>4.056</v>
      </c>
      <c r="H44" t="s">
        <v>204</v>
      </c>
      <c r="I44">
        <v>716</v>
      </c>
      <c r="J44">
        <v>255528</v>
      </c>
      <c r="K44">
        <v>5544</v>
      </c>
      <c r="L44" t="s">
        <v>333</v>
      </c>
      <c r="M44" t="s">
        <v>199</v>
      </c>
      <c r="N44" t="s">
        <v>334</v>
      </c>
      <c r="O44" t="s">
        <v>248</v>
      </c>
      <c r="P44" t="s">
        <v>194</v>
      </c>
      <c r="Q44" t="s">
        <v>194</v>
      </c>
    </row>
    <row r="45" spans="1:17">
      <c r="A45" t="s">
        <v>170</v>
      </c>
      <c r="B45" t="s">
        <v>313</v>
      </c>
      <c r="C45" t="s">
        <v>314</v>
      </c>
      <c r="D45">
        <v>218000</v>
      </c>
      <c r="E45">
        <v>1.15</v>
      </c>
      <c r="F45">
        <v>250700</v>
      </c>
      <c r="G45">
        <v>1.15</v>
      </c>
      <c r="H45" t="s">
        <v>335</v>
      </c>
      <c r="I45">
        <v>73</v>
      </c>
      <c r="J45">
        <v>250700</v>
      </c>
      <c r="K45">
        <v>0</v>
      </c>
      <c r="L45" t="s">
        <v>267</v>
      </c>
      <c r="M45" t="s">
        <v>199</v>
      </c>
      <c r="N45" t="s">
        <v>336</v>
      </c>
      <c r="O45" t="s">
        <v>253</v>
      </c>
      <c r="P45" t="s">
        <v>194</v>
      </c>
      <c r="Q45" t="s">
        <v>194</v>
      </c>
    </row>
    <row r="46" spans="1:17">
      <c r="A46" t="s">
        <v>170</v>
      </c>
      <c r="B46" t="s">
        <v>244</v>
      </c>
      <c r="C46" t="s">
        <v>245</v>
      </c>
      <c r="D46">
        <v>3700</v>
      </c>
      <c r="E46">
        <v>135.645</v>
      </c>
      <c r="F46">
        <v>501886.5</v>
      </c>
      <c r="G46">
        <v>135.785</v>
      </c>
      <c r="H46" t="s">
        <v>337</v>
      </c>
      <c r="I46">
        <v>566</v>
      </c>
      <c r="J46">
        <v>502404.5</v>
      </c>
      <c r="K46">
        <v>518</v>
      </c>
      <c r="L46" t="s">
        <v>338</v>
      </c>
      <c r="M46" t="s">
        <v>191</v>
      </c>
      <c r="N46" t="s">
        <v>274</v>
      </c>
      <c r="O46" t="s">
        <v>253</v>
      </c>
      <c r="P46" t="s">
        <v>194</v>
      </c>
      <c r="Q46" t="s">
        <v>194</v>
      </c>
    </row>
    <row r="47" spans="1:17">
      <c r="A47" t="s">
        <v>170</v>
      </c>
      <c r="B47" t="s">
        <v>187</v>
      </c>
      <c r="C47" t="s">
        <v>188</v>
      </c>
      <c r="D47">
        <v>3500</v>
      </c>
      <c r="E47">
        <v>141.2121</v>
      </c>
      <c r="F47">
        <v>494242.35</v>
      </c>
      <c r="G47">
        <v>141.302</v>
      </c>
      <c r="H47" t="s">
        <v>317</v>
      </c>
      <c r="I47">
        <v>103</v>
      </c>
      <c r="J47">
        <v>494557</v>
      </c>
      <c r="K47">
        <v>314.65</v>
      </c>
      <c r="L47" t="s">
        <v>339</v>
      </c>
      <c r="M47" t="s">
        <v>191</v>
      </c>
      <c r="N47" t="s">
        <v>340</v>
      </c>
      <c r="O47" t="s">
        <v>243</v>
      </c>
      <c r="P47" t="s">
        <v>194</v>
      </c>
      <c r="Q47" t="s">
        <v>194</v>
      </c>
    </row>
    <row r="48" spans="1:17">
      <c r="A48" t="s">
        <v>170</v>
      </c>
      <c r="B48" t="s">
        <v>195</v>
      </c>
      <c r="C48" t="s">
        <v>196</v>
      </c>
      <c r="D48">
        <v>2200</v>
      </c>
      <c r="E48">
        <v>113.462</v>
      </c>
      <c r="F48">
        <v>249616.4</v>
      </c>
      <c r="G48">
        <v>113.505</v>
      </c>
      <c r="H48" t="s">
        <v>298</v>
      </c>
      <c r="I48">
        <v>1028</v>
      </c>
      <c r="J48">
        <v>249711</v>
      </c>
      <c r="K48">
        <v>94.6</v>
      </c>
      <c r="L48" t="s">
        <v>319</v>
      </c>
      <c r="M48" t="s">
        <v>199</v>
      </c>
      <c r="N48" t="s">
        <v>200</v>
      </c>
      <c r="O48" t="s">
        <v>201</v>
      </c>
      <c r="P48" t="s">
        <v>194</v>
      </c>
      <c r="Q48" t="s">
        <v>194</v>
      </c>
    </row>
    <row r="49" spans="1:17">
      <c r="A49" t="s">
        <v>170</v>
      </c>
      <c r="B49" t="s">
        <v>202</v>
      </c>
      <c r="C49" t="s">
        <v>203</v>
      </c>
      <c r="D49">
        <v>31800</v>
      </c>
      <c r="E49">
        <v>9.4587</v>
      </c>
      <c r="F49">
        <v>300786.66</v>
      </c>
      <c r="G49">
        <v>9.345</v>
      </c>
      <c r="H49" t="s">
        <v>341</v>
      </c>
      <c r="I49">
        <v>304</v>
      </c>
      <c r="J49">
        <v>297171</v>
      </c>
      <c r="K49">
        <v>-3615.66</v>
      </c>
      <c r="L49" t="s">
        <v>342</v>
      </c>
      <c r="M49" t="s">
        <v>206</v>
      </c>
      <c r="N49" t="s">
        <v>343</v>
      </c>
      <c r="O49" t="s">
        <v>344</v>
      </c>
      <c r="P49" t="s">
        <v>194</v>
      </c>
      <c r="Q49" t="s">
        <v>194</v>
      </c>
    </row>
    <row r="50" spans="1:17">
      <c r="A50" t="s">
        <v>171</v>
      </c>
      <c r="B50" t="s">
        <v>220</v>
      </c>
      <c r="C50" t="s">
        <v>221</v>
      </c>
      <c r="D50">
        <v>110000</v>
      </c>
      <c r="E50">
        <v>4.914</v>
      </c>
      <c r="F50">
        <v>540540</v>
      </c>
      <c r="G50">
        <v>4.932</v>
      </c>
      <c r="H50" t="s">
        <v>298</v>
      </c>
      <c r="I50">
        <v>216</v>
      </c>
      <c r="J50">
        <v>542520</v>
      </c>
      <c r="K50">
        <v>1980</v>
      </c>
      <c r="L50" t="s">
        <v>325</v>
      </c>
      <c r="M50" t="s">
        <v>206</v>
      </c>
      <c r="N50" t="s">
        <v>326</v>
      </c>
      <c r="O50" t="s">
        <v>283</v>
      </c>
      <c r="P50" t="s">
        <v>194</v>
      </c>
      <c r="Q50" t="s">
        <v>194</v>
      </c>
    </row>
    <row r="51" spans="1:17">
      <c r="A51" t="s">
        <v>171</v>
      </c>
      <c r="B51" t="s">
        <v>226</v>
      </c>
      <c r="C51" t="s">
        <v>227</v>
      </c>
      <c r="D51">
        <v>20000</v>
      </c>
      <c r="E51">
        <v>8.696</v>
      </c>
      <c r="F51">
        <v>173920</v>
      </c>
      <c r="G51">
        <v>8.649</v>
      </c>
      <c r="H51" t="s">
        <v>345</v>
      </c>
      <c r="I51">
        <v>286</v>
      </c>
      <c r="J51">
        <v>172980</v>
      </c>
      <c r="K51">
        <v>-940</v>
      </c>
      <c r="L51" t="s">
        <v>346</v>
      </c>
      <c r="M51" t="s">
        <v>191</v>
      </c>
      <c r="N51" t="s">
        <v>347</v>
      </c>
      <c r="O51" t="s">
        <v>265</v>
      </c>
      <c r="P51" t="s">
        <v>194</v>
      </c>
      <c r="Q51" t="s">
        <v>194</v>
      </c>
    </row>
    <row r="52" spans="1:17">
      <c r="A52" t="s">
        <v>171</v>
      </c>
      <c r="B52" t="s">
        <v>232</v>
      </c>
      <c r="C52" t="s">
        <v>233</v>
      </c>
      <c r="D52">
        <v>60000</v>
      </c>
      <c r="E52">
        <v>1.838</v>
      </c>
      <c r="F52">
        <v>110280</v>
      </c>
      <c r="G52">
        <v>1.892</v>
      </c>
      <c r="H52" t="s">
        <v>348</v>
      </c>
      <c r="I52">
        <v>58</v>
      </c>
      <c r="J52">
        <v>113520</v>
      </c>
      <c r="K52">
        <v>3240</v>
      </c>
      <c r="L52" t="s">
        <v>349</v>
      </c>
      <c r="M52" t="s">
        <v>199</v>
      </c>
      <c r="N52" t="s">
        <v>350</v>
      </c>
      <c r="O52" t="s">
        <v>290</v>
      </c>
      <c r="P52" t="s">
        <v>194</v>
      </c>
      <c r="Q52" t="s">
        <v>194</v>
      </c>
    </row>
    <row r="53" spans="1:17">
      <c r="A53" t="s">
        <v>171</v>
      </c>
      <c r="B53" t="s">
        <v>238</v>
      </c>
      <c r="C53" t="s">
        <v>239</v>
      </c>
      <c r="D53">
        <v>63000</v>
      </c>
      <c r="E53">
        <v>3.968</v>
      </c>
      <c r="F53">
        <v>249984</v>
      </c>
      <c r="G53">
        <v>4.138</v>
      </c>
      <c r="H53" t="s">
        <v>351</v>
      </c>
      <c r="I53">
        <v>568</v>
      </c>
      <c r="J53">
        <v>260694</v>
      </c>
      <c r="K53">
        <v>10710</v>
      </c>
      <c r="L53" t="s">
        <v>352</v>
      </c>
      <c r="M53" t="s">
        <v>199</v>
      </c>
      <c r="N53" t="s">
        <v>353</v>
      </c>
      <c r="O53" t="s">
        <v>354</v>
      </c>
      <c r="P53" t="s">
        <v>194</v>
      </c>
      <c r="Q53" t="s">
        <v>194</v>
      </c>
    </row>
    <row r="54" spans="1:17">
      <c r="A54" t="s">
        <v>171</v>
      </c>
      <c r="B54" t="s">
        <v>313</v>
      </c>
      <c r="C54" t="s">
        <v>314</v>
      </c>
      <c r="D54">
        <v>218000</v>
      </c>
      <c r="E54">
        <v>1.15</v>
      </c>
      <c r="F54">
        <v>250700</v>
      </c>
      <c r="G54">
        <v>1.144</v>
      </c>
      <c r="H54" t="s">
        <v>335</v>
      </c>
      <c r="I54">
        <v>75</v>
      </c>
      <c r="J54">
        <v>249392</v>
      </c>
      <c r="K54">
        <v>-1308</v>
      </c>
      <c r="L54" t="s">
        <v>335</v>
      </c>
      <c r="M54" t="s">
        <v>199</v>
      </c>
      <c r="N54" t="s">
        <v>271</v>
      </c>
      <c r="O54" t="s">
        <v>201</v>
      </c>
      <c r="P54" t="s">
        <v>194</v>
      </c>
      <c r="Q54" t="s">
        <v>194</v>
      </c>
    </row>
    <row r="55" spans="1:17">
      <c r="A55" t="s">
        <v>171</v>
      </c>
      <c r="B55" t="s">
        <v>244</v>
      </c>
      <c r="C55" t="s">
        <v>245</v>
      </c>
      <c r="D55">
        <v>3700</v>
      </c>
      <c r="E55">
        <v>135.645</v>
      </c>
      <c r="F55">
        <v>501886.5</v>
      </c>
      <c r="G55">
        <v>135.975</v>
      </c>
      <c r="H55" t="s">
        <v>337</v>
      </c>
      <c r="I55">
        <v>510</v>
      </c>
      <c r="J55">
        <v>503107.5</v>
      </c>
      <c r="K55">
        <v>1221</v>
      </c>
      <c r="L55" t="s">
        <v>355</v>
      </c>
      <c r="M55" t="s">
        <v>191</v>
      </c>
      <c r="N55" t="s">
        <v>356</v>
      </c>
      <c r="O55" t="s">
        <v>248</v>
      </c>
      <c r="P55" t="s">
        <v>194</v>
      </c>
      <c r="Q55" t="s">
        <v>194</v>
      </c>
    </row>
    <row r="56" spans="1:17">
      <c r="A56" t="s">
        <v>171</v>
      </c>
      <c r="B56" t="s">
        <v>187</v>
      </c>
      <c r="C56" t="s">
        <v>188</v>
      </c>
      <c r="D56">
        <v>3500</v>
      </c>
      <c r="E56">
        <v>141.2121</v>
      </c>
      <c r="F56">
        <v>494242.35</v>
      </c>
      <c r="G56">
        <v>141.417</v>
      </c>
      <c r="H56" t="s">
        <v>357</v>
      </c>
      <c r="I56">
        <v>26</v>
      </c>
      <c r="J56">
        <v>494959.5</v>
      </c>
      <c r="K56">
        <v>717.15</v>
      </c>
      <c r="L56" t="s">
        <v>300</v>
      </c>
      <c r="M56" t="s">
        <v>191</v>
      </c>
      <c r="N56" t="s">
        <v>358</v>
      </c>
      <c r="O56" t="s">
        <v>243</v>
      </c>
      <c r="P56" t="s">
        <v>194</v>
      </c>
      <c r="Q56" t="s">
        <v>194</v>
      </c>
    </row>
    <row r="57" spans="1:17">
      <c r="A57" t="s">
        <v>171</v>
      </c>
      <c r="B57" t="s">
        <v>195</v>
      </c>
      <c r="C57" t="s">
        <v>196</v>
      </c>
      <c r="D57">
        <v>2200</v>
      </c>
      <c r="E57">
        <v>113.462</v>
      </c>
      <c r="F57">
        <v>249616.4</v>
      </c>
      <c r="G57">
        <v>113.515</v>
      </c>
      <c r="H57" t="s">
        <v>197</v>
      </c>
      <c r="I57">
        <v>1134</v>
      </c>
      <c r="J57">
        <v>249733</v>
      </c>
      <c r="K57">
        <v>116.6</v>
      </c>
      <c r="L57" t="s">
        <v>210</v>
      </c>
      <c r="M57" t="s">
        <v>199</v>
      </c>
      <c r="N57" t="s">
        <v>200</v>
      </c>
      <c r="O57" t="s">
        <v>201</v>
      </c>
      <c r="P57" t="s">
        <v>194</v>
      </c>
      <c r="Q57" t="s">
        <v>194</v>
      </c>
    </row>
    <row r="58" spans="1:17">
      <c r="A58" t="s">
        <v>171</v>
      </c>
      <c r="B58" t="s">
        <v>202</v>
      </c>
      <c r="C58" t="s">
        <v>203</v>
      </c>
      <c r="D58">
        <v>39800</v>
      </c>
      <c r="E58">
        <v>9.3966</v>
      </c>
      <c r="F58">
        <v>373984.68</v>
      </c>
      <c r="G58">
        <v>9.132</v>
      </c>
      <c r="H58" t="s">
        <v>359</v>
      </c>
      <c r="I58">
        <v>418</v>
      </c>
      <c r="J58">
        <v>363453.6</v>
      </c>
      <c r="K58">
        <v>-10531.08</v>
      </c>
      <c r="L58" t="s">
        <v>330</v>
      </c>
      <c r="M58" t="s">
        <v>206</v>
      </c>
      <c r="N58" t="s">
        <v>360</v>
      </c>
      <c r="O58" t="s">
        <v>193</v>
      </c>
      <c r="P58" t="s">
        <v>194</v>
      </c>
      <c r="Q58" t="s">
        <v>194</v>
      </c>
    </row>
    <row r="59" spans="1:17">
      <c r="A59" t="s">
        <v>171</v>
      </c>
      <c r="B59" t="s">
        <v>361</v>
      </c>
      <c r="C59" t="s">
        <v>362</v>
      </c>
      <c r="D59">
        <v>2500</v>
      </c>
      <c r="E59">
        <v>99.997</v>
      </c>
      <c r="F59">
        <v>249992.5</v>
      </c>
      <c r="G59">
        <v>99.998</v>
      </c>
      <c r="H59" t="s">
        <v>190</v>
      </c>
      <c r="I59">
        <v>817</v>
      </c>
      <c r="J59">
        <v>249995</v>
      </c>
      <c r="K59">
        <v>2.5</v>
      </c>
      <c r="L59" t="s">
        <v>267</v>
      </c>
      <c r="M59" t="s">
        <v>199</v>
      </c>
      <c r="N59" t="s">
        <v>200</v>
      </c>
      <c r="O59" t="s">
        <v>201</v>
      </c>
      <c r="P59" t="s">
        <v>194</v>
      </c>
      <c r="Q59" t="s">
        <v>194</v>
      </c>
    </row>
    <row r="60" spans="1:17">
      <c r="A60" t="s">
        <v>363</v>
      </c>
      <c r="B60" t="s">
        <v>220</v>
      </c>
      <c r="C60" t="s">
        <v>221</v>
      </c>
      <c r="D60">
        <v>110000</v>
      </c>
      <c r="E60">
        <v>4.914</v>
      </c>
      <c r="F60">
        <v>540540</v>
      </c>
      <c r="G60">
        <v>4.923</v>
      </c>
      <c r="H60" t="s">
        <v>364</v>
      </c>
      <c r="I60">
        <v>324</v>
      </c>
      <c r="J60">
        <v>541530</v>
      </c>
      <c r="K60">
        <v>990</v>
      </c>
      <c r="L60" t="s">
        <v>205</v>
      </c>
      <c r="M60" t="s">
        <v>206</v>
      </c>
      <c r="N60" t="s">
        <v>365</v>
      </c>
      <c r="O60" t="s">
        <v>283</v>
      </c>
      <c r="P60" t="s">
        <v>194</v>
      </c>
      <c r="Q60" t="s">
        <v>194</v>
      </c>
    </row>
    <row r="61" spans="1:17">
      <c r="A61" t="s">
        <v>363</v>
      </c>
      <c r="B61" t="s">
        <v>226</v>
      </c>
      <c r="C61" t="s">
        <v>227</v>
      </c>
      <c r="D61">
        <v>20000</v>
      </c>
      <c r="E61">
        <v>8.696</v>
      </c>
      <c r="F61">
        <v>173920</v>
      </c>
      <c r="G61">
        <v>8.443</v>
      </c>
      <c r="H61" t="s">
        <v>366</v>
      </c>
      <c r="I61">
        <v>279</v>
      </c>
      <c r="J61">
        <v>168860</v>
      </c>
      <c r="K61">
        <v>-5060</v>
      </c>
      <c r="L61" t="s">
        <v>367</v>
      </c>
      <c r="M61" t="s">
        <v>191</v>
      </c>
      <c r="N61" t="s">
        <v>368</v>
      </c>
      <c r="O61" t="s">
        <v>231</v>
      </c>
      <c r="P61" t="s">
        <v>194</v>
      </c>
      <c r="Q61" t="s">
        <v>194</v>
      </c>
    </row>
    <row r="62" spans="1:17">
      <c r="A62" t="s">
        <v>363</v>
      </c>
      <c r="B62" t="s">
        <v>232</v>
      </c>
      <c r="C62" t="s">
        <v>233</v>
      </c>
      <c r="D62">
        <v>60000</v>
      </c>
      <c r="E62">
        <v>1.838</v>
      </c>
      <c r="F62">
        <v>110280</v>
      </c>
      <c r="G62">
        <v>1.794</v>
      </c>
      <c r="H62" t="s">
        <v>369</v>
      </c>
      <c r="I62">
        <v>81</v>
      </c>
      <c r="J62">
        <v>107640</v>
      </c>
      <c r="K62">
        <v>-2640</v>
      </c>
      <c r="L62" t="s">
        <v>370</v>
      </c>
      <c r="M62" t="s">
        <v>199</v>
      </c>
      <c r="N62" t="s">
        <v>371</v>
      </c>
      <c r="O62" t="s">
        <v>237</v>
      </c>
      <c r="P62" t="s">
        <v>194</v>
      </c>
      <c r="Q62" t="s">
        <v>194</v>
      </c>
    </row>
    <row r="63" spans="1:17">
      <c r="A63" t="s">
        <v>363</v>
      </c>
      <c r="B63" t="s">
        <v>238</v>
      </c>
      <c r="C63" t="s">
        <v>239</v>
      </c>
      <c r="D63">
        <v>63000</v>
      </c>
      <c r="E63">
        <v>3.968</v>
      </c>
      <c r="F63">
        <v>249984</v>
      </c>
      <c r="G63">
        <v>4.053</v>
      </c>
      <c r="H63" t="s">
        <v>372</v>
      </c>
      <c r="I63">
        <v>663</v>
      </c>
      <c r="J63">
        <v>255339</v>
      </c>
      <c r="K63">
        <v>5355</v>
      </c>
      <c r="L63" t="s">
        <v>373</v>
      </c>
      <c r="M63" t="s">
        <v>199</v>
      </c>
      <c r="N63" t="s">
        <v>374</v>
      </c>
      <c r="O63" t="s">
        <v>248</v>
      </c>
      <c r="P63" t="s">
        <v>194</v>
      </c>
      <c r="Q63" t="s">
        <v>194</v>
      </c>
    </row>
    <row r="64" spans="1:17">
      <c r="A64" t="s">
        <v>363</v>
      </c>
      <c r="B64" t="s">
        <v>313</v>
      </c>
      <c r="C64" t="s">
        <v>314</v>
      </c>
      <c r="D64">
        <v>218000</v>
      </c>
      <c r="E64">
        <v>1.15</v>
      </c>
      <c r="F64">
        <v>250700</v>
      </c>
      <c r="G64">
        <v>1.167</v>
      </c>
      <c r="H64" t="s">
        <v>375</v>
      </c>
      <c r="I64">
        <v>92</v>
      </c>
      <c r="J64">
        <v>254406</v>
      </c>
      <c r="K64">
        <v>3706</v>
      </c>
      <c r="L64" t="s">
        <v>376</v>
      </c>
      <c r="M64" t="s">
        <v>199</v>
      </c>
      <c r="N64" t="s">
        <v>377</v>
      </c>
      <c r="O64" t="s">
        <v>248</v>
      </c>
      <c r="P64" t="s">
        <v>194</v>
      </c>
      <c r="Q64" t="s">
        <v>194</v>
      </c>
    </row>
    <row r="65" spans="1:17">
      <c r="A65" t="s">
        <v>363</v>
      </c>
      <c r="B65" t="s">
        <v>244</v>
      </c>
      <c r="C65" t="s">
        <v>245</v>
      </c>
      <c r="D65">
        <v>3700</v>
      </c>
      <c r="E65">
        <v>135.645</v>
      </c>
      <c r="F65">
        <v>501886.5</v>
      </c>
      <c r="G65">
        <v>136.008</v>
      </c>
      <c r="H65" t="s">
        <v>204</v>
      </c>
      <c r="I65">
        <v>131</v>
      </c>
      <c r="J65">
        <v>503229.6</v>
      </c>
      <c r="K65">
        <v>1343.1</v>
      </c>
      <c r="L65" t="s">
        <v>378</v>
      </c>
      <c r="M65" t="s">
        <v>191</v>
      </c>
      <c r="N65" t="s">
        <v>356</v>
      </c>
      <c r="O65" t="s">
        <v>248</v>
      </c>
      <c r="P65" t="s">
        <v>194</v>
      </c>
      <c r="Q65" t="s">
        <v>194</v>
      </c>
    </row>
    <row r="66" spans="1:17">
      <c r="A66" t="s">
        <v>363</v>
      </c>
      <c r="B66" t="s">
        <v>187</v>
      </c>
      <c r="C66" t="s">
        <v>188</v>
      </c>
      <c r="D66">
        <v>3500</v>
      </c>
      <c r="E66">
        <v>141.2121</v>
      </c>
      <c r="F66">
        <v>494242.35</v>
      </c>
      <c r="G66">
        <v>141.499</v>
      </c>
      <c r="H66" t="s">
        <v>379</v>
      </c>
      <c r="I66">
        <v>94</v>
      </c>
      <c r="J66">
        <v>495246.5</v>
      </c>
      <c r="K66">
        <v>1004.15</v>
      </c>
      <c r="L66" t="s">
        <v>380</v>
      </c>
      <c r="M66" t="s">
        <v>191</v>
      </c>
      <c r="N66" t="s">
        <v>275</v>
      </c>
      <c r="O66" t="s">
        <v>243</v>
      </c>
      <c r="P66" t="s">
        <v>194</v>
      </c>
      <c r="Q66" t="s">
        <v>194</v>
      </c>
    </row>
    <row r="67" spans="1:17">
      <c r="A67" t="s">
        <v>363</v>
      </c>
      <c r="B67" t="s">
        <v>195</v>
      </c>
      <c r="C67" t="s">
        <v>196</v>
      </c>
      <c r="D67">
        <v>2200</v>
      </c>
      <c r="E67">
        <v>113.462</v>
      </c>
      <c r="F67">
        <v>249616.4</v>
      </c>
      <c r="G67">
        <v>113.525</v>
      </c>
      <c r="H67" t="s">
        <v>197</v>
      </c>
      <c r="I67">
        <v>1187</v>
      </c>
      <c r="J67">
        <v>249755</v>
      </c>
      <c r="K67">
        <v>138.6</v>
      </c>
      <c r="L67" t="s">
        <v>339</v>
      </c>
      <c r="M67" t="s">
        <v>199</v>
      </c>
      <c r="N67" t="s">
        <v>200</v>
      </c>
      <c r="O67" t="s">
        <v>201</v>
      </c>
      <c r="P67" t="s">
        <v>194</v>
      </c>
      <c r="Q67" t="s">
        <v>194</v>
      </c>
    </row>
    <row r="68" spans="1:17">
      <c r="A68" t="s">
        <v>363</v>
      </c>
      <c r="B68" t="s">
        <v>202</v>
      </c>
      <c r="C68" t="s">
        <v>203</v>
      </c>
      <c r="D68">
        <v>39800</v>
      </c>
      <c r="E68">
        <v>9.3966</v>
      </c>
      <c r="F68">
        <v>373984.68</v>
      </c>
      <c r="G68">
        <v>9.397</v>
      </c>
      <c r="H68" t="s">
        <v>381</v>
      </c>
      <c r="I68">
        <v>326</v>
      </c>
      <c r="J68">
        <v>374000.6</v>
      </c>
      <c r="K68">
        <v>15.92</v>
      </c>
      <c r="L68" t="s">
        <v>267</v>
      </c>
      <c r="M68" t="s">
        <v>206</v>
      </c>
      <c r="N68" t="s">
        <v>382</v>
      </c>
      <c r="O68" t="s">
        <v>383</v>
      </c>
      <c r="P68" t="s">
        <v>194</v>
      </c>
      <c r="Q68" t="s">
        <v>194</v>
      </c>
    </row>
    <row r="69" spans="1:17">
      <c r="A69" t="s">
        <v>363</v>
      </c>
      <c r="B69" t="s">
        <v>361</v>
      </c>
      <c r="C69" t="s">
        <v>362</v>
      </c>
      <c r="D69">
        <v>2500</v>
      </c>
      <c r="E69">
        <v>99.997</v>
      </c>
      <c r="F69">
        <v>249992.5</v>
      </c>
      <c r="G69">
        <v>100.003</v>
      </c>
      <c r="H69" t="s">
        <v>197</v>
      </c>
      <c r="I69">
        <v>1170</v>
      </c>
      <c r="J69">
        <v>250007.5</v>
      </c>
      <c r="K69">
        <v>15</v>
      </c>
      <c r="L69" t="s">
        <v>198</v>
      </c>
      <c r="M69" t="s">
        <v>199</v>
      </c>
      <c r="N69" t="s">
        <v>277</v>
      </c>
      <c r="O69" t="s">
        <v>201</v>
      </c>
      <c r="P69" t="s">
        <v>194</v>
      </c>
      <c r="Q69" t="s">
        <v>194</v>
      </c>
    </row>
    <row r="70" spans="1:17">
      <c r="A70" t="s">
        <v>384</v>
      </c>
      <c r="B70" t="s">
        <v>220</v>
      </c>
      <c r="C70" t="s">
        <v>221</v>
      </c>
      <c r="D70">
        <v>110000</v>
      </c>
      <c r="E70">
        <v>4.914</v>
      </c>
      <c r="F70">
        <v>540540</v>
      </c>
      <c r="G70">
        <v>4.868</v>
      </c>
      <c r="H70" t="s">
        <v>385</v>
      </c>
      <c r="I70">
        <v>244</v>
      </c>
      <c r="J70">
        <v>535480</v>
      </c>
      <c r="K70">
        <v>-5060</v>
      </c>
      <c r="L70" t="s">
        <v>328</v>
      </c>
      <c r="M70" t="s">
        <v>206</v>
      </c>
      <c r="N70" t="s">
        <v>386</v>
      </c>
      <c r="O70" t="s">
        <v>261</v>
      </c>
      <c r="P70" t="s">
        <v>194</v>
      </c>
      <c r="Q70" t="s">
        <v>194</v>
      </c>
    </row>
    <row r="71" spans="1:17">
      <c r="A71" t="s">
        <v>384</v>
      </c>
      <c r="B71" t="s">
        <v>226</v>
      </c>
      <c r="C71" t="s">
        <v>227</v>
      </c>
      <c r="D71">
        <v>20000</v>
      </c>
      <c r="E71">
        <v>8.696</v>
      </c>
      <c r="F71">
        <v>173920</v>
      </c>
      <c r="G71">
        <v>8.37</v>
      </c>
      <c r="H71" t="s">
        <v>387</v>
      </c>
      <c r="I71">
        <v>344</v>
      </c>
      <c r="J71">
        <v>167400</v>
      </c>
      <c r="K71">
        <v>-6520</v>
      </c>
      <c r="L71" t="s">
        <v>388</v>
      </c>
      <c r="M71" t="s">
        <v>191</v>
      </c>
      <c r="N71" t="s">
        <v>389</v>
      </c>
      <c r="O71" t="s">
        <v>231</v>
      </c>
      <c r="P71" t="s">
        <v>194</v>
      </c>
      <c r="Q71" t="s">
        <v>194</v>
      </c>
    </row>
    <row r="72" spans="1:17">
      <c r="A72" t="s">
        <v>384</v>
      </c>
      <c r="B72" t="s">
        <v>232</v>
      </c>
      <c r="C72" t="s">
        <v>233</v>
      </c>
      <c r="D72">
        <v>60000</v>
      </c>
      <c r="E72">
        <v>1.838</v>
      </c>
      <c r="F72">
        <v>110280</v>
      </c>
      <c r="G72">
        <v>1.707</v>
      </c>
      <c r="H72" t="s">
        <v>390</v>
      </c>
      <c r="I72">
        <v>44</v>
      </c>
      <c r="J72">
        <v>102420</v>
      </c>
      <c r="K72">
        <v>-7860</v>
      </c>
      <c r="L72" t="s">
        <v>391</v>
      </c>
      <c r="M72" t="s">
        <v>199</v>
      </c>
      <c r="N72" t="s">
        <v>392</v>
      </c>
      <c r="O72" t="s">
        <v>393</v>
      </c>
      <c r="P72" t="s">
        <v>194</v>
      </c>
      <c r="Q72" t="s">
        <v>394</v>
      </c>
    </row>
    <row r="73" spans="1:17">
      <c r="A73" t="s">
        <v>384</v>
      </c>
      <c r="B73" t="s">
        <v>238</v>
      </c>
      <c r="C73" t="s">
        <v>239</v>
      </c>
      <c r="D73">
        <v>63000</v>
      </c>
      <c r="E73">
        <v>3.968</v>
      </c>
      <c r="F73">
        <v>249984</v>
      </c>
      <c r="G73">
        <v>3.964</v>
      </c>
      <c r="H73" t="s">
        <v>395</v>
      </c>
      <c r="I73">
        <v>533</v>
      </c>
      <c r="J73">
        <v>249732</v>
      </c>
      <c r="K73">
        <v>-252</v>
      </c>
      <c r="L73" t="s">
        <v>396</v>
      </c>
      <c r="M73" t="s">
        <v>199</v>
      </c>
      <c r="N73" t="s">
        <v>336</v>
      </c>
      <c r="O73" t="s">
        <v>253</v>
      </c>
      <c r="P73" t="s">
        <v>194</v>
      </c>
      <c r="Q73" t="s">
        <v>194</v>
      </c>
    </row>
    <row r="74" spans="1:17">
      <c r="A74" t="s">
        <v>384</v>
      </c>
      <c r="B74" t="s">
        <v>313</v>
      </c>
      <c r="C74" t="s">
        <v>314</v>
      </c>
      <c r="D74">
        <v>218000</v>
      </c>
      <c r="E74">
        <v>1.15</v>
      </c>
      <c r="F74">
        <v>250700</v>
      </c>
      <c r="G74">
        <v>1.181</v>
      </c>
      <c r="H74" t="s">
        <v>397</v>
      </c>
      <c r="I74">
        <v>96</v>
      </c>
      <c r="J74">
        <v>257458</v>
      </c>
      <c r="K74">
        <v>6758</v>
      </c>
      <c r="L74" t="s">
        <v>398</v>
      </c>
      <c r="M74" t="s">
        <v>199</v>
      </c>
      <c r="N74" t="s">
        <v>399</v>
      </c>
      <c r="O74" t="s">
        <v>354</v>
      </c>
      <c r="P74" t="s">
        <v>194</v>
      </c>
      <c r="Q74" t="s">
        <v>194</v>
      </c>
    </row>
    <row r="75" spans="1:17">
      <c r="A75" t="s">
        <v>384</v>
      </c>
      <c r="B75" t="s">
        <v>244</v>
      </c>
      <c r="C75" t="s">
        <v>245</v>
      </c>
      <c r="D75">
        <v>3700</v>
      </c>
      <c r="E75">
        <v>135.645</v>
      </c>
      <c r="F75">
        <v>501886.5</v>
      </c>
      <c r="G75">
        <v>136.091</v>
      </c>
      <c r="H75" t="s">
        <v>379</v>
      </c>
      <c r="I75">
        <v>127</v>
      </c>
      <c r="J75">
        <v>503536.7</v>
      </c>
      <c r="K75">
        <v>1650.2</v>
      </c>
      <c r="L75" t="s">
        <v>400</v>
      </c>
      <c r="M75" t="s">
        <v>191</v>
      </c>
      <c r="N75" t="s">
        <v>401</v>
      </c>
      <c r="O75" t="s">
        <v>248</v>
      </c>
      <c r="P75" t="s">
        <v>194</v>
      </c>
      <c r="Q75" t="s">
        <v>194</v>
      </c>
    </row>
    <row r="76" spans="1:17">
      <c r="A76" t="s">
        <v>384</v>
      </c>
      <c r="B76" t="s">
        <v>187</v>
      </c>
      <c r="C76" t="s">
        <v>188</v>
      </c>
      <c r="D76">
        <v>3500</v>
      </c>
      <c r="E76">
        <v>141.2121</v>
      </c>
      <c r="F76">
        <v>494242.35</v>
      </c>
      <c r="G76">
        <v>141.504</v>
      </c>
      <c r="H76" t="s">
        <v>298</v>
      </c>
      <c r="I76">
        <v>38</v>
      </c>
      <c r="J76">
        <v>495264</v>
      </c>
      <c r="K76">
        <v>1021.65</v>
      </c>
      <c r="L76" t="s">
        <v>402</v>
      </c>
      <c r="M76" t="s">
        <v>191</v>
      </c>
      <c r="N76" t="s">
        <v>403</v>
      </c>
      <c r="O76" t="s">
        <v>243</v>
      </c>
      <c r="P76" t="s">
        <v>194</v>
      </c>
      <c r="Q76" t="s">
        <v>194</v>
      </c>
    </row>
    <row r="77" spans="1:17">
      <c r="A77" t="s">
        <v>384</v>
      </c>
      <c r="B77" t="s">
        <v>195</v>
      </c>
      <c r="C77" t="s">
        <v>196</v>
      </c>
      <c r="D77">
        <v>2200</v>
      </c>
      <c r="E77">
        <v>113.462</v>
      </c>
      <c r="F77">
        <v>249616.4</v>
      </c>
      <c r="G77">
        <v>113.525</v>
      </c>
      <c r="H77" t="s">
        <v>298</v>
      </c>
      <c r="I77">
        <v>1357</v>
      </c>
      <c r="J77">
        <v>249755</v>
      </c>
      <c r="K77">
        <v>138.6</v>
      </c>
      <c r="L77" t="s">
        <v>339</v>
      </c>
      <c r="M77" t="s">
        <v>199</v>
      </c>
      <c r="N77" t="s">
        <v>336</v>
      </c>
      <c r="O77" t="s">
        <v>253</v>
      </c>
      <c r="P77" t="s">
        <v>194</v>
      </c>
      <c r="Q77" t="s">
        <v>194</v>
      </c>
    </row>
    <row r="78" spans="1:17">
      <c r="A78" t="s">
        <v>384</v>
      </c>
      <c r="B78" t="s">
        <v>202</v>
      </c>
      <c r="C78" t="s">
        <v>203</v>
      </c>
      <c r="D78">
        <v>39800</v>
      </c>
      <c r="E78">
        <v>9.3966</v>
      </c>
      <c r="F78">
        <v>373984.68</v>
      </c>
      <c r="G78">
        <v>9.344</v>
      </c>
      <c r="H78" t="s">
        <v>404</v>
      </c>
      <c r="I78">
        <v>243</v>
      </c>
      <c r="J78">
        <v>371891.2</v>
      </c>
      <c r="K78">
        <v>-2093.48</v>
      </c>
      <c r="L78" t="s">
        <v>404</v>
      </c>
      <c r="M78" t="s">
        <v>206</v>
      </c>
      <c r="N78" t="s">
        <v>405</v>
      </c>
      <c r="O78" t="s">
        <v>383</v>
      </c>
      <c r="P78" t="s">
        <v>194</v>
      </c>
      <c r="Q78" t="s">
        <v>194</v>
      </c>
    </row>
    <row r="79" spans="1:17">
      <c r="A79" t="s">
        <v>384</v>
      </c>
      <c r="B79" t="s">
        <v>361</v>
      </c>
      <c r="C79" t="s">
        <v>362</v>
      </c>
      <c r="D79">
        <v>2500</v>
      </c>
      <c r="E79">
        <v>99.997</v>
      </c>
      <c r="F79">
        <v>249992.5</v>
      </c>
      <c r="G79">
        <v>99.996</v>
      </c>
      <c r="H79" t="s">
        <v>250</v>
      </c>
      <c r="I79">
        <v>1103</v>
      </c>
      <c r="J79">
        <v>249990</v>
      </c>
      <c r="K79">
        <v>-2.5</v>
      </c>
      <c r="L79" t="s">
        <v>190</v>
      </c>
      <c r="M79" t="s">
        <v>199</v>
      </c>
      <c r="N79" t="s">
        <v>336</v>
      </c>
      <c r="O79" t="s">
        <v>253</v>
      </c>
      <c r="P79" t="s">
        <v>194</v>
      </c>
      <c r="Q79" t="s">
        <v>194</v>
      </c>
    </row>
    <row r="80" spans="1:17">
      <c r="A80" t="s">
        <v>406</v>
      </c>
      <c r="B80" t="s">
        <v>130</v>
      </c>
      <c r="C80" t="s">
        <v>162</v>
      </c>
      <c r="H80">
        <v>4.868</v>
      </c>
      <c r="I80">
        <v>-5060</v>
      </c>
      <c r="J80">
        <v>-0.0094</v>
      </c>
      <c r="N80" t="s">
        <v>407</v>
      </c>
    </row>
    <row r="81" spans="1:14">
      <c r="A81" t="s">
        <v>406</v>
      </c>
      <c r="B81" t="s">
        <v>166</v>
      </c>
      <c r="C81" t="s">
        <v>165</v>
      </c>
      <c r="H81">
        <v>8.37</v>
      </c>
      <c r="I81">
        <v>-6520</v>
      </c>
      <c r="J81">
        <v>-0.0375</v>
      </c>
      <c r="N81" t="s">
        <v>408</v>
      </c>
    </row>
    <row r="82" spans="1:14">
      <c r="A82" t="s">
        <v>406</v>
      </c>
      <c r="B82" t="s">
        <v>134</v>
      </c>
      <c r="C82" t="s">
        <v>167</v>
      </c>
      <c r="H82">
        <v>1.707</v>
      </c>
      <c r="I82">
        <v>-7860</v>
      </c>
      <c r="J82">
        <v>-0.0713</v>
      </c>
      <c r="N82" t="s">
        <v>409</v>
      </c>
    </row>
    <row r="83" spans="1:14">
      <c r="A83" t="s">
        <v>406</v>
      </c>
      <c r="B83" t="s">
        <v>164</v>
      </c>
      <c r="C83" t="s">
        <v>163</v>
      </c>
      <c r="H83">
        <v>3.964</v>
      </c>
      <c r="I83">
        <v>-252</v>
      </c>
      <c r="J83">
        <v>-0.001</v>
      </c>
      <c r="N83" t="s">
        <v>194</v>
      </c>
    </row>
    <row r="84" spans="1:14">
      <c r="A84" t="s">
        <v>406</v>
      </c>
      <c r="B84" t="s">
        <v>410</v>
      </c>
      <c r="C84" t="s">
        <v>411</v>
      </c>
      <c r="H84">
        <v>1.181</v>
      </c>
      <c r="I84">
        <v>6758</v>
      </c>
      <c r="J84">
        <v>0.027</v>
      </c>
      <c r="N84" t="s">
        <v>194</v>
      </c>
    </row>
    <row r="85" spans="1:14">
      <c r="A85" t="s">
        <v>406</v>
      </c>
      <c r="B85" t="s">
        <v>138</v>
      </c>
      <c r="C85" t="s">
        <v>173</v>
      </c>
      <c r="H85">
        <v>14.037</v>
      </c>
      <c r="I85">
        <v>0</v>
      </c>
      <c r="N85" t="s">
        <v>194</v>
      </c>
    </row>
    <row r="86" spans="1:14">
      <c r="A86" t="s">
        <v>406</v>
      </c>
      <c r="B86" t="s">
        <v>412</v>
      </c>
      <c r="C86" t="s">
        <v>160</v>
      </c>
      <c r="H86">
        <v>136.091</v>
      </c>
      <c r="I86">
        <v>1650.2</v>
      </c>
      <c r="J86">
        <v>0.0033</v>
      </c>
      <c r="N86" t="s">
        <v>194</v>
      </c>
    </row>
    <row r="87" spans="1:14">
      <c r="A87" t="s">
        <v>406</v>
      </c>
      <c r="B87" t="s">
        <v>413</v>
      </c>
      <c r="C87" t="s">
        <v>157</v>
      </c>
      <c r="H87">
        <v>141.504</v>
      </c>
      <c r="I87">
        <v>1021.65</v>
      </c>
      <c r="J87">
        <v>0.0021</v>
      </c>
      <c r="N87" t="s">
        <v>194</v>
      </c>
    </row>
    <row r="88" spans="1:14">
      <c r="A88" t="s">
        <v>406</v>
      </c>
      <c r="B88" t="s">
        <v>154</v>
      </c>
      <c r="C88" t="s">
        <v>153</v>
      </c>
      <c r="H88">
        <v>113.525</v>
      </c>
      <c r="I88">
        <v>138.6</v>
      </c>
      <c r="J88">
        <v>0.0006</v>
      </c>
      <c r="N88" t="s">
        <v>194</v>
      </c>
    </row>
    <row r="89" spans="1:14">
      <c r="A89" t="s">
        <v>406</v>
      </c>
      <c r="B89" t="s">
        <v>414</v>
      </c>
      <c r="C89" t="s">
        <v>155</v>
      </c>
      <c r="H89">
        <v>9.344</v>
      </c>
      <c r="I89">
        <v>-2093.48</v>
      </c>
      <c r="J89">
        <v>-0.0056</v>
      </c>
      <c r="N89" t="s">
        <v>415</v>
      </c>
    </row>
    <row r="90" spans="1:14">
      <c r="A90" t="s">
        <v>406</v>
      </c>
      <c r="B90" t="s">
        <v>146</v>
      </c>
      <c r="C90" t="s">
        <v>416</v>
      </c>
      <c r="H90">
        <v>100.483</v>
      </c>
      <c r="I90">
        <v>0</v>
      </c>
      <c r="N90" t="s">
        <v>194</v>
      </c>
    </row>
    <row r="91" spans="1:14">
      <c r="A91" t="s">
        <v>406</v>
      </c>
      <c r="B91" t="s">
        <v>148</v>
      </c>
      <c r="C91" t="s">
        <v>174</v>
      </c>
      <c r="H91">
        <v>99.996</v>
      </c>
      <c r="I91">
        <v>-2.5</v>
      </c>
      <c r="J91">
        <v>0</v>
      </c>
      <c r="N91" t="s">
        <v>194</v>
      </c>
    </row>
    <row r="92" spans="1:14">
      <c r="A92" t="s">
        <v>406</v>
      </c>
      <c r="B92" t="s">
        <v>130</v>
      </c>
      <c r="C92" t="s">
        <v>162</v>
      </c>
      <c r="H92">
        <v>4.868</v>
      </c>
      <c r="I92">
        <v>-5060</v>
      </c>
      <c r="J92">
        <v>-0.0094</v>
      </c>
      <c r="N92" t="s">
        <v>407</v>
      </c>
    </row>
    <row r="93" spans="1:14">
      <c r="A93" t="s">
        <v>406</v>
      </c>
      <c r="B93" t="s">
        <v>166</v>
      </c>
      <c r="C93" t="s">
        <v>165</v>
      </c>
      <c r="H93">
        <v>8.37</v>
      </c>
      <c r="I93">
        <v>-6520</v>
      </c>
      <c r="J93">
        <v>-0.0375</v>
      </c>
      <c r="N93" t="s">
        <v>408</v>
      </c>
    </row>
    <row r="94" spans="1:14">
      <c r="A94" t="s">
        <v>406</v>
      </c>
      <c r="B94" t="s">
        <v>134</v>
      </c>
      <c r="C94" t="s">
        <v>167</v>
      </c>
      <c r="H94">
        <v>1.707</v>
      </c>
      <c r="I94">
        <v>-7860</v>
      </c>
      <c r="J94">
        <v>-0.0713</v>
      </c>
      <c r="N94" t="s">
        <v>409</v>
      </c>
    </row>
    <row r="95" spans="1:14">
      <c r="A95" t="s">
        <v>406</v>
      </c>
      <c r="B95" t="s">
        <v>164</v>
      </c>
      <c r="C95" t="s">
        <v>163</v>
      </c>
      <c r="H95">
        <v>3.964</v>
      </c>
      <c r="I95">
        <v>-252</v>
      </c>
      <c r="J95">
        <v>-0.001</v>
      </c>
      <c r="N95" t="s">
        <v>194</v>
      </c>
    </row>
    <row r="96" spans="1:14">
      <c r="A96" t="s">
        <v>406</v>
      </c>
      <c r="B96" t="s">
        <v>410</v>
      </c>
      <c r="C96" t="s">
        <v>411</v>
      </c>
      <c r="H96">
        <v>1.181</v>
      </c>
      <c r="I96">
        <v>6758</v>
      </c>
      <c r="J96">
        <v>0.027</v>
      </c>
      <c r="N96" t="s">
        <v>194</v>
      </c>
    </row>
    <row r="97" spans="1:14">
      <c r="A97" t="s">
        <v>406</v>
      </c>
      <c r="B97" t="s">
        <v>138</v>
      </c>
      <c r="C97" t="s">
        <v>173</v>
      </c>
      <c r="H97">
        <v>14.037</v>
      </c>
      <c r="I97">
        <v>0</v>
      </c>
      <c r="N97" t="s">
        <v>194</v>
      </c>
    </row>
    <row r="98" spans="1:14">
      <c r="A98" t="s">
        <v>406</v>
      </c>
      <c r="B98" t="s">
        <v>412</v>
      </c>
      <c r="C98" t="s">
        <v>160</v>
      </c>
      <c r="H98">
        <v>136.091</v>
      </c>
      <c r="I98">
        <v>1650.2</v>
      </c>
      <c r="J98">
        <v>0.0033</v>
      </c>
      <c r="N98" t="s">
        <v>194</v>
      </c>
    </row>
    <row r="99" spans="1:14">
      <c r="A99" t="s">
        <v>406</v>
      </c>
      <c r="B99" t="s">
        <v>413</v>
      </c>
      <c r="C99" t="s">
        <v>157</v>
      </c>
      <c r="H99">
        <v>141.504</v>
      </c>
      <c r="I99">
        <v>1021.65</v>
      </c>
      <c r="J99">
        <v>0.0021</v>
      </c>
      <c r="N99" t="s">
        <v>194</v>
      </c>
    </row>
    <row r="100" spans="1:14">
      <c r="A100" t="s">
        <v>406</v>
      </c>
      <c r="B100" t="s">
        <v>154</v>
      </c>
      <c r="C100" t="s">
        <v>153</v>
      </c>
      <c r="H100">
        <v>113.525</v>
      </c>
      <c r="I100">
        <v>138.6</v>
      </c>
      <c r="J100">
        <v>0.0006</v>
      </c>
      <c r="N100" t="s">
        <v>194</v>
      </c>
    </row>
    <row r="101" spans="1:14">
      <c r="A101" t="s">
        <v>406</v>
      </c>
      <c r="B101" t="s">
        <v>414</v>
      </c>
      <c r="C101" t="s">
        <v>155</v>
      </c>
      <c r="H101">
        <v>9.344</v>
      </c>
      <c r="I101">
        <v>-2093.48</v>
      </c>
      <c r="J101">
        <v>-0.0056</v>
      </c>
      <c r="N101" t="s">
        <v>415</v>
      </c>
    </row>
    <row r="102" spans="1:14">
      <c r="A102" t="s">
        <v>406</v>
      </c>
      <c r="B102" t="s">
        <v>146</v>
      </c>
      <c r="C102" t="s">
        <v>416</v>
      </c>
      <c r="H102">
        <v>100.483</v>
      </c>
      <c r="I102">
        <v>0</v>
      </c>
      <c r="N102" t="s">
        <v>194</v>
      </c>
    </row>
    <row r="103" spans="1:14">
      <c r="A103" t="s">
        <v>406</v>
      </c>
      <c r="B103" t="s">
        <v>148</v>
      </c>
      <c r="C103" t="s">
        <v>174</v>
      </c>
      <c r="H103">
        <v>99.996</v>
      </c>
      <c r="I103">
        <v>-2.5</v>
      </c>
      <c r="J103">
        <v>0</v>
      </c>
      <c r="N103" t="s">
        <v>194</v>
      </c>
    </row>
    <row r="104" spans="1:14">
      <c r="A104" t="s">
        <v>417</v>
      </c>
      <c r="B104" t="s">
        <v>130</v>
      </c>
      <c r="C104" t="s">
        <v>162</v>
      </c>
      <c r="H104">
        <v>4.936</v>
      </c>
      <c r="I104">
        <v>2420</v>
      </c>
      <c r="J104">
        <v>0.0045</v>
      </c>
      <c r="N104" t="s">
        <v>418</v>
      </c>
    </row>
    <row r="105" spans="1:14">
      <c r="A105" t="s">
        <v>417</v>
      </c>
      <c r="B105" t="s">
        <v>166</v>
      </c>
      <c r="C105" t="s">
        <v>165</v>
      </c>
      <c r="H105">
        <v>8.406</v>
      </c>
      <c r="I105">
        <v>-5800</v>
      </c>
      <c r="J105">
        <v>-0.0333</v>
      </c>
      <c r="N105" t="s">
        <v>408</v>
      </c>
    </row>
    <row r="106" spans="1:14">
      <c r="A106" t="s">
        <v>417</v>
      </c>
      <c r="B106" t="s">
        <v>134</v>
      </c>
      <c r="C106" t="s">
        <v>167</v>
      </c>
      <c r="H106">
        <v>1.734</v>
      </c>
      <c r="I106">
        <v>-6240</v>
      </c>
      <c r="J106">
        <v>-0.0566</v>
      </c>
      <c r="N106" t="s">
        <v>419</v>
      </c>
    </row>
    <row r="107" spans="1:14">
      <c r="A107" t="s">
        <v>417</v>
      </c>
      <c r="B107" t="s">
        <v>164</v>
      </c>
      <c r="C107" t="s">
        <v>163</v>
      </c>
      <c r="H107">
        <v>4.071</v>
      </c>
      <c r="I107">
        <v>6489</v>
      </c>
      <c r="J107">
        <v>0.026</v>
      </c>
      <c r="N107" t="s">
        <v>194</v>
      </c>
    </row>
    <row r="108" spans="1:14">
      <c r="A108" t="s">
        <v>417</v>
      </c>
      <c r="B108" t="s">
        <v>410</v>
      </c>
      <c r="C108" t="s">
        <v>411</v>
      </c>
      <c r="H108">
        <v>1.182</v>
      </c>
      <c r="I108">
        <v>6976</v>
      </c>
      <c r="J108">
        <v>0.0278</v>
      </c>
      <c r="N108" t="s">
        <v>194</v>
      </c>
    </row>
    <row r="109" spans="1:14">
      <c r="A109" t="s">
        <v>417</v>
      </c>
      <c r="B109" t="s">
        <v>138</v>
      </c>
      <c r="C109" t="s">
        <v>173</v>
      </c>
      <c r="H109">
        <v>14.121</v>
      </c>
      <c r="I109">
        <v>0</v>
      </c>
      <c r="N109" t="s">
        <v>194</v>
      </c>
    </row>
    <row r="110" spans="1:14">
      <c r="A110" t="s">
        <v>417</v>
      </c>
      <c r="B110" t="s">
        <v>412</v>
      </c>
      <c r="C110" t="s">
        <v>160</v>
      </c>
      <c r="H110">
        <v>136.14</v>
      </c>
      <c r="I110">
        <v>1831.5</v>
      </c>
      <c r="J110">
        <v>0.0036</v>
      </c>
      <c r="N110" t="s">
        <v>194</v>
      </c>
    </row>
    <row r="111" spans="1:14">
      <c r="A111" t="s">
        <v>417</v>
      </c>
      <c r="B111" t="s">
        <v>413</v>
      </c>
      <c r="C111" t="s">
        <v>157</v>
      </c>
      <c r="H111">
        <v>141.48</v>
      </c>
      <c r="I111">
        <v>937.65</v>
      </c>
      <c r="J111">
        <v>0.0019</v>
      </c>
      <c r="N111" t="s">
        <v>194</v>
      </c>
    </row>
    <row r="112" spans="1:14">
      <c r="A112" t="s">
        <v>417</v>
      </c>
      <c r="B112" t="s">
        <v>154</v>
      </c>
      <c r="C112" t="s">
        <v>153</v>
      </c>
      <c r="H112">
        <v>113.526</v>
      </c>
      <c r="I112">
        <v>140.8</v>
      </c>
      <c r="J112">
        <v>0.0006</v>
      </c>
      <c r="N112" t="s">
        <v>194</v>
      </c>
    </row>
    <row r="113" spans="1:14">
      <c r="A113" t="s">
        <v>417</v>
      </c>
      <c r="B113" t="s">
        <v>414</v>
      </c>
      <c r="C113" t="s">
        <v>155</v>
      </c>
      <c r="H113">
        <v>9.41</v>
      </c>
      <c r="I113">
        <v>533.32</v>
      </c>
      <c r="J113">
        <v>0.0014</v>
      </c>
      <c r="N113" t="s">
        <v>415</v>
      </c>
    </row>
    <row r="114" spans="1:14">
      <c r="A114" t="s">
        <v>417</v>
      </c>
      <c r="B114" t="s">
        <v>146</v>
      </c>
      <c r="C114" t="s">
        <v>416</v>
      </c>
      <c r="H114">
        <v>100.488</v>
      </c>
      <c r="I114">
        <v>0</v>
      </c>
      <c r="N114" t="s">
        <v>194</v>
      </c>
    </row>
    <row r="115" spans="1:14">
      <c r="A115" t="s">
        <v>417</v>
      </c>
      <c r="B115" t="s">
        <v>148</v>
      </c>
      <c r="C115" t="s">
        <v>174</v>
      </c>
      <c r="H115">
        <v>99.999</v>
      </c>
      <c r="I115">
        <v>5</v>
      </c>
      <c r="J115">
        <v>0</v>
      </c>
      <c r="N115" t="s">
        <v>194</v>
      </c>
    </row>
    <row r="116" spans="1:14">
      <c r="A116" t="s">
        <v>420</v>
      </c>
      <c r="B116" t="s">
        <v>130</v>
      </c>
      <c r="C116" t="s">
        <v>162</v>
      </c>
      <c r="H116">
        <v>4.965</v>
      </c>
      <c r="I116">
        <v>5610</v>
      </c>
      <c r="J116">
        <v>0.0104</v>
      </c>
      <c r="N116" t="s">
        <v>194</v>
      </c>
    </row>
    <row r="117" spans="1:14">
      <c r="A117" t="s">
        <v>420</v>
      </c>
      <c r="B117" t="s">
        <v>166</v>
      </c>
      <c r="C117" t="s">
        <v>165</v>
      </c>
      <c r="H117">
        <v>8.455</v>
      </c>
      <c r="I117">
        <v>-4820</v>
      </c>
      <c r="J117">
        <v>-0.0277</v>
      </c>
      <c r="N117" t="s">
        <v>421</v>
      </c>
    </row>
    <row r="118" spans="1:14">
      <c r="A118" t="s">
        <v>420</v>
      </c>
      <c r="B118" t="s">
        <v>134</v>
      </c>
      <c r="C118" t="s">
        <v>167</v>
      </c>
      <c r="H118">
        <v>1.772</v>
      </c>
      <c r="I118">
        <v>-3960</v>
      </c>
      <c r="J118">
        <v>-0.0359</v>
      </c>
      <c r="N118" t="s">
        <v>194</v>
      </c>
    </row>
    <row r="119" spans="1:14">
      <c r="A119" t="s">
        <v>420</v>
      </c>
      <c r="B119" t="s">
        <v>164</v>
      </c>
      <c r="C119" t="s">
        <v>163</v>
      </c>
      <c r="H119">
        <v>4.145</v>
      </c>
      <c r="I119">
        <v>11151</v>
      </c>
      <c r="J119">
        <v>0.0446</v>
      </c>
      <c r="N119" t="s">
        <v>422</v>
      </c>
    </row>
    <row r="120" spans="1:14">
      <c r="A120" t="s">
        <v>420</v>
      </c>
      <c r="B120" t="s">
        <v>410</v>
      </c>
      <c r="C120" t="s">
        <v>411</v>
      </c>
      <c r="H120">
        <v>1.173</v>
      </c>
      <c r="I120">
        <v>5014</v>
      </c>
      <c r="J120">
        <v>0.02</v>
      </c>
      <c r="N120" t="s">
        <v>194</v>
      </c>
    </row>
    <row r="121" spans="1:14">
      <c r="A121" t="s">
        <v>420</v>
      </c>
      <c r="B121" t="s">
        <v>138</v>
      </c>
      <c r="C121" t="s">
        <v>173</v>
      </c>
      <c r="H121">
        <v>14.083</v>
      </c>
      <c r="I121">
        <v>0</v>
      </c>
      <c r="J121">
        <v>0</v>
      </c>
      <c r="N121" t="s">
        <v>423</v>
      </c>
    </row>
    <row r="122" spans="1:14">
      <c r="A122" t="s">
        <v>420</v>
      </c>
      <c r="B122" t="s">
        <v>412</v>
      </c>
      <c r="C122" t="s">
        <v>160</v>
      </c>
      <c r="H122">
        <v>136.078</v>
      </c>
      <c r="I122">
        <v>1602.1</v>
      </c>
      <c r="J122">
        <v>0.0032</v>
      </c>
      <c r="N122" t="s">
        <v>424</v>
      </c>
    </row>
    <row r="123" spans="1:14">
      <c r="A123" t="s">
        <v>420</v>
      </c>
      <c r="B123" t="s">
        <v>413</v>
      </c>
      <c r="C123" t="s">
        <v>157</v>
      </c>
      <c r="H123">
        <v>141.464</v>
      </c>
      <c r="I123">
        <v>881.65</v>
      </c>
      <c r="J123">
        <v>0.0018</v>
      </c>
      <c r="N123" t="s">
        <v>425</v>
      </c>
    </row>
    <row r="124" spans="1:14">
      <c r="A124" t="s">
        <v>420</v>
      </c>
      <c r="B124" t="s">
        <v>154</v>
      </c>
      <c r="C124" t="s">
        <v>153</v>
      </c>
      <c r="H124">
        <v>113.528</v>
      </c>
      <c r="I124">
        <v>145.2</v>
      </c>
      <c r="J124">
        <v>0.0006</v>
      </c>
      <c r="N124" t="s">
        <v>194</v>
      </c>
    </row>
    <row r="125" spans="1:14">
      <c r="A125" t="s">
        <v>420</v>
      </c>
      <c r="B125" t="s">
        <v>414</v>
      </c>
      <c r="C125" t="s">
        <v>155</v>
      </c>
      <c r="H125">
        <v>9.281</v>
      </c>
      <c r="I125">
        <v>-4600.88</v>
      </c>
      <c r="J125">
        <v>-0.0123</v>
      </c>
      <c r="N125" t="s">
        <v>426</v>
      </c>
    </row>
    <row r="126" spans="1:14">
      <c r="A126" t="s">
        <v>420</v>
      </c>
      <c r="B126" t="s">
        <v>146</v>
      </c>
      <c r="C126" t="s">
        <v>416</v>
      </c>
      <c r="H126">
        <v>100.501</v>
      </c>
      <c r="I126">
        <v>0</v>
      </c>
      <c r="J126">
        <v>0</v>
      </c>
      <c r="N126" t="s">
        <v>147</v>
      </c>
    </row>
    <row r="127" spans="1:14">
      <c r="A127" t="s">
        <v>420</v>
      </c>
      <c r="B127" t="s">
        <v>148</v>
      </c>
      <c r="C127" t="s">
        <v>174</v>
      </c>
      <c r="H127">
        <v>100</v>
      </c>
      <c r="I127">
        <v>7.5</v>
      </c>
      <c r="J127">
        <v>0</v>
      </c>
      <c r="N127" t="s">
        <v>194</v>
      </c>
    </row>
    <row r="128" spans="1:14">
      <c r="A128" t="s">
        <v>427</v>
      </c>
      <c r="B128" t="s">
        <v>130</v>
      </c>
      <c r="C128" t="s">
        <v>162</v>
      </c>
      <c r="H128">
        <v>4.926</v>
      </c>
      <c r="I128">
        <v>1320</v>
      </c>
      <c r="J128">
        <v>0.0024</v>
      </c>
      <c r="N128" t="s">
        <v>428</v>
      </c>
    </row>
    <row r="129" spans="1:14">
      <c r="A129" t="s">
        <v>427</v>
      </c>
      <c r="B129" t="s">
        <v>166</v>
      </c>
      <c r="C129" t="s">
        <v>165</v>
      </c>
      <c r="H129">
        <v>8.448</v>
      </c>
      <c r="I129">
        <v>-4960</v>
      </c>
      <c r="J129">
        <v>-0.0285</v>
      </c>
      <c r="N129" t="s">
        <v>429</v>
      </c>
    </row>
    <row r="130" spans="1:14">
      <c r="A130" t="s">
        <v>427</v>
      </c>
      <c r="B130" t="s">
        <v>134</v>
      </c>
      <c r="C130" t="s">
        <v>167</v>
      </c>
      <c r="H130">
        <v>1.783</v>
      </c>
      <c r="I130">
        <v>-3300</v>
      </c>
      <c r="J130">
        <v>-0.0299</v>
      </c>
      <c r="N130" t="s">
        <v>428</v>
      </c>
    </row>
    <row r="131" spans="1:14">
      <c r="A131" t="s">
        <v>427</v>
      </c>
      <c r="B131" t="s">
        <v>164</v>
      </c>
      <c r="C131" t="s">
        <v>163</v>
      </c>
      <c r="H131">
        <v>4.1</v>
      </c>
      <c r="I131">
        <v>8316</v>
      </c>
      <c r="J131">
        <v>0.0333</v>
      </c>
      <c r="N131" t="s">
        <v>430</v>
      </c>
    </row>
    <row r="132" spans="1:14">
      <c r="A132" t="s">
        <v>427</v>
      </c>
      <c r="B132" t="s">
        <v>410</v>
      </c>
      <c r="C132" t="s">
        <v>411</v>
      </c>
      <c r="H132">
        <v>1.158</v>
      </c>
      <c r="I132">
        <v>1744</v>
      </c>
      <c r="J132">
        <v>0.007</v>
      </c>
      <c r="N132" t="s">
        <v>428</v>
      </c>
    </row>
    <row r="133" spans="1:14">
      <c r="A133" t="s">
        <v>427</v>
      </c>
      <c r="B133" t="s">
        <v>138</v>
      </c>
      <c r="C133" t="s">
        <v>173</v>
      </c>
      <c r="H133">
        <v>13.999</v>
      </c>
      <c r="I133">
        <v>0</v>
      </c>
      <c r="J133">
        <v>0</v>
      </c>
      <c r="N133" t="s">
        <v>431</v>
      </c>
    </row>
    <row r="134" spans="1:14">
      <c r="A134" t="s">
        <v>427</v>
      </c>
      <c r="B134" t="s">
        <v>412</v>
      </c>
      <c r="C134" t="s">
        <v>160</v>
      </c>
      <c r="H134">
        <v>136.133</v>
      </c>
      <c r="I134">
        <v>1805.6</v>
      </c>
      <c r="J134">
        <v>0.0036</v>
      </c>
      <c r="N134" t="s">
        <v>432</v>
      </c>
    </row>
    <row r="135" spans="1:14">
      <c r="A135" t="s">
        <v>427</v>
      </c>
      <c r="B135" t="s">
        <v>413</v>
      </c>
      <c r="C135" t="s">
        <v>157</v>
      </c>
      <c r="H135">
        <v>141.504</v>
      </c>
      <c r="I135">
        <v>1021.65</v>
      </c>
      <c r="J135">
        <v>0.0021</v>
      </c>
      <c r="N135" t="s">
        <v>433</v>
      </c>
    </row>
    <row r="136" spans="1:14">
      <c r="A136" t="s">
        <v>427</v>
      </c>
      <c r="B136" t="s">
        <v>154</v>
      </c>
      <c r="C136" t="s">
        <v>153</v>
      </c>
      <c r="H136">
        <v>113.535</v>
      </c>
      <c r="I136">
        <v>160.6</v>
      </c>
      <c r="J136">
        <v>0.0006</v>
      </c>
      <c r="N136" t="s">
        <v>428</v>
      </c>
    </row>
    <row r="137" spans="1:14">
      <c r="A137" t="s">
        <v>427</v>
      </c>
      <c r="B137" t="s">
        <v>414</v>
      </c>
      <c r="C137" t="s">
        <v>155</v>
      </c>
      <c r="H137">
        <v>9.29</v>
      </c>
      <c r="I137">
        <v>-4242.68</v>
      </c>
      <c r="J137">
        <v>-0.0113</v>
      </c>
      <c r="N137" t="s">
        <v>434</v>
      </c>
    </row>
    <row r="138" spans="1:14">
      <c r="A138" t="s">
        <v>427</v>
      </c>
      <c r="B138" t="s">
        <v>146</v>
      </c>
      <c r="C138" t="s">
        <v>416</v>
      </c>
      <c r="H138">
        <v>100.512</v>
      </c>
      <c r="I138">
        <v>0</v>
      </c>
      <c r="J138">
        <v>0</v>
      </c>
      <c r="N138" t="s">
        <v>435</v>
      </c>
    </row>
    <row r="139" spans="1:14">
      <c r="A139" t="s">
        <v>427</v>
      </c>
      <c r="B139" t="s">
        <v>148</v>
      </c>
      <c r="C139" t="s">
        <v>174</v>
      </c>
      <c r="H139">
        <v>100.001</v>
      </c>
      <c r="I139">
        <v>10</v>
      </c>
      <c r="J139">
        <v>0</v>
      </c>
      <c r="N139" t="s">
        <v>428</v>
      </c>
    </row>
    <row r="140" spans="1:14">
      <c r="A140" t="s">
        <v>436</v>
      </c>
      <c r="B140" t="s">
        <v>130</v>
      </c>
      <c r="C140" t="s">
        <v>162</v>
      </c>
      <c r="H140">
        <v>4.826</v>
      </c>
      <c r="I140">
        <v>-9074.2</v>
      </c>
      <c r="J140">
        <v>-0.0121</v>
      </c>
      <c r="N140" t="s">
        <v>437</v>
      </c>
    </row>
    <row r="141" spans="1:14">
      <c r="A141" t="s">
        <v>436</v>
      </c>
      <c r="B141" t="s">
        <v>166</v>
      </c>
      <c r="C141" t="s">
        <v>165</v>
      </c>
      <c r="H141">
        <v>8.27</v>
      </c>
      <c r="I141">
        <v>-8520</v>
      </c>
      <c r="J141">
        <v>-0.049</v>
      </c>
      <c r="N141" t="s">
        <v>147</v>
      </c>
    </row>
    <row r="142" spans="1:14">
      <c r="A142" t="s">
        <v>436</v>
      </c>
      <c r="B142" t="s">
        <v>134</v>
      </c>
      <c r="C142" t="s">
        <v>167</v>
      </c>
      <c r="H142">
        <v>1.706</v>
      </c>
      <c r="I142">
        <v>-7920</v>
      </c>
      <c r="J142">
        <v>-0.0718</v>
      </c>
      <c r="N142" t="s">
        <v>438</v>
      </c>
    </row>
    <row r="143" spans="1:14">
      <c r="A143" t="s">
        <v>436</v>
      </c>
      <c r="B143" t="s">
        <v>164</v>
      </c>
      <c r="C143" t="s">
        <v>163</v>
      </c>
      <c r="H143">
        <v>3.972</v>
      </c>
      <c r="I143">
        <v>252</v>
      </c>
      <c r="J143">
        <v>0.001</v>
      </c>
      <c r="N143" t="s">
        <v>194</v>
      </c>
    </row>
    <row r="144" spans="1:14">
      <c r="A144" t="s">
        <v>436</v>
      </c>
      <c r="B144" t="s">
        <v>410</v>
      </c>
      <c r="C144" t="s">
        <v>411</v>
      </c>
      <c r="H144">
        <v>1.164</v>
      </c>
      <c r="I144">
        <v>3052</v>
      </c>
      <c r="J144">
        <v>0.0122</v>
      </c>
      <c r="N144" t="s">
        <v>194</v>
      </c>
    </row>
    <row r="145" spans="1:15">
      <c r="A145" t="s">
        <v>436</v>
      </c>
      <c r="B145" t="s">
        <v>138</v>
      </c>
      <c r="C145" t="s">
        <v>173</v>
      </c>
      <c r="H145">
        <v>13.927</v>
      </c>
      <c r="I145">
        <v>-165.6</v>
      </c>
      <c r="J145">
        <v>-0.0016</v>
      </c>
      <c r="N145" t="s">
        <v>439</v>
      </c>
    </row>
    <row r="146" spans="1:15">
      <c r="A146" t="s">
        <v>436</v>
      </c>
      <c r="B146" t="s">
        <v>412</v>
      </c>
      <c r="C146" t="s">
        <v>160</v>
      </c>
      <c r="H146">
        <v>135.75</v>
      </c>
      <c r="I146">
        <v>388.5</v>
      </c>
      <c r="J146">
        <v>0.0008</v>
      </c>
      <c r="N146" t="s">
        <v>440</v>
      </c>
    </row>
    <row r="147" spans="1:15">
      <c r="A147" t="s">
        <v>436</v>
      </c>
      <c r="B147" t="s">
        <v>413</v>
      </c>
      <c r="C147" t="s">
        <v>157</v>
      </c>
      <c r="H147">
        <v>141.345</v>
      </c>
      <c r="I147">
        <v>465.15</v>
      </c>
      <c r="J147">
        <v>0.0009</v>
      </c>
      <c r="N147" t="s">
        <v>441</v>
      </c>
    </row>
    <row r="148" spans="1:15">
      <c r="A148" t="s">
        <v>436</v>
      </c>
      <c r="B148" t="s">
        <v>154</v>
      </c>
      <c r="C148" t="s">
        <v>153</v>
      </c>
      <c r="H148">
        <v>113.559</v>
      </c>
      <c r="I148">
        <v>213.4</v>
      </c>
      <c r="J148">
        <v>0.0009</v>
      </c>
      <c r="N148" t="s">
        <v>194</v>
      </c>
    </row>
    <row r="149" spans="1:15">
      <c r="A149" t="s">
        <v>436</v>
      </c>
      <c r="B149" t="s">
        <v>414</v>
      </c>
      <c r="C149" t="s">
        <v>155</v>
      </c>
      <c r="H149">
        <v>9.005</v>
      </c>
      <c r="I149">
        <v>-15544.56</v>
      </c>
      <c r="J149">
        <v>-0.0349</v>
      </c>
      <c r="N149" t="s">
        <v>194</v>
      </c>
    </row>
    <row r="150" spans="1:15">
      <c r="A150" t="s">
        <v>436</v>
      </c>
      <c r="B150" t="s">
        <v>146</v>
      </c>
      <c r="C150" t="s">
        <v>416</v>
      </c>
      <c r="H150">
        <v>100.514</v>
      </c>
      <c r="I150">
        <v>0</v>
      </c>
      <c r="J150">
        <v>0</v>
      </c>
      <c r="N150" t="s">
        <v>147</v>
      </c>
    </row>
    <row r="151" spans="1:15">
      <c r="A151" t="s">
        <v>436</v>
      </c>
      <c r="B151" t="s">
        <v>148</v>
      </c>
      <c r="C151" t="s">
        <v>174</v>
      </c>
      <c r="H151">
        <v>100.003</v>
      </c>
      <c r="I151">
        <v>0</v>
      </c>
      <c r="J151">
        <v>0</v>
      </c>
      <c r="N151" t="s">
        <v>147</v>
      </c>
    </row>
    <row r="152" spans="1:15">
      <c r="A152" t="s">
        <v>442</v>
      </c>
      <c r="B152" t="s">
        <v>443</v>
      </c>
      <c r="C152" t="s">
        <v>162</v>
      </c>
      <c r="D152">
        <v>153800</v>
      </c>
      <c r="E152">
        <v>4.885</v>
      </c>
      <c r="F152">
        <v>751313</v>
      </c>
      <c r="G152">
        <v>4.784</v>
      </c>
      <c r="H152" t="s">
        <v>387</v>
      </c>
      <c r="I152">
        <v>735779.2</v>
      </c>
      <c r="J152">
        <v>-15533.8</v>
      </c>
      <c r="K152">
        <v>-0.0207</v>
      </c>
      <c r="L152">
        <v>0.15</v>
      </c>
      <c r="M152">
        <v>0.2124</v>
      </c>
      <c r="N152">
        <v>0.0624</v>
      </c>
      <c r="O152" t="s">
        <v>444</v>
      </c>
    </row>
    <row r="153" spans="1:15">
      <c r="A153" t="s">
        <v>442</v>
      </c>
      <c r="B153" t="s">
        <v>132</v>
      </c>
      <c r="C153" t="s">
        <v>165</v>
      </c>
      <c r="D153">
        <v>20000</v>
      </c>
      <c r="E153">
        <v>8.696</v>
      </c>
      <c r="F153">
        <v>173920</v>
      </c>
      <c r="G153">
        <v>8.171</v>
      </c>
      <c r="H153" t="s">
        <v>342</v>
      </c>
      <c r="I153">
        <v>163420</v>
      </c>
      <c r="J153">
        <v>-10500</v>
      </c>
      <c r="K153">
        <v>-0.0604</v>
      </c>
      <c r="L153">
        <v>0.1</v>
      </c>
      <c r="M153">
        <v>0.0472</v>
      </c>
      <c r="N153">
        <v>-0.0528</v>
      </c>
      <c r="O153" t="s">
        <v>445</v>
      </c>
    </row>
    <row r="154" spans="1:15">
      <c r="A154" t="s">
        <v>442</v>
      </c>
      <c r="B154" t="s">
        <v>134</v>
      </c>
      <c r="C154" t="s">
        <v>167</v>
      </c>
      <c r="D154">
        <v>60000</v>
      </c>
      <c r="E154">
        <v>1.838</v>
      </c>
      <c r="F154">
        <v>110280</v>
      </c>
      <c r="G154">
        <v>1.699</v>
      </c>
      <c r="H154" t="s">
        <v>446</v>
      </c>
      <c r="I154">
        <v>101940</v>
      </c>
      <c r="J154">
        <v>-8340</v>
      </c>
      <c r="K154">
        <v>-0.0756</v>
      </c>
      <c r="L154">
        <v>0.05</v>
      </c>
      <c r="M154">
        <v>0.0294</v>
      </c>
      <c r="N154">
        <v>-0.0206</v>
      </c>
      <c r="O154" t="s">
        <v>135</v>
      </c>
    </row>
    <row r="155" spans="1:15">
      <c r="A155" t="s">
        <v>442</v>
      </c>
      <c r="B155" t="s">
        <v>136</v>
      </c>
      <c r="C155" t="s">
        <v>163</v>
      </c>
      <c r="D155">
        <v>63000</v>
      </c>
      <c r="E155">
        <v>3.968</v>
      </c>
      <c r="F155">
        <v>249984</v>
      </c>
      <c r="G155">
        <v>3.87</v>
      </c>
      <c r="H155" t="s">
        <v>447</v>
      </c>
      <c r="I155">
        <v>243810</v>
      </c>
      <c r="J155">
        <v>-6174</v>
      </c>
      <c r="K155">
        <v>-0.0247</v>
      </c>
      <c r="L155">
        <v>0.05</v>
      </c>
      <c r="M155">
        <v>0.0704</v>
      </c>
      <c r="N155">
        <v>0.0204</v>
      </c>
      <c r="O155" t="s">
        <v>194</v>
      </c>
    </row>
    <row r="156" spans="1:15">
      <c r="A156" t="s">
        <v>442</v>
      </c>
      <c r="B156" t="s">
        <v>137</v>
      </c>
      <c r="C156" t="s">
        <v>411</v>
      </c>
      <c r="D156">
        <v>218000</v>
      </c>
      <c r="E156">
        <v>1.15</v>
      </c>
      <c r="F156">
        <v>250700</v>
      </c>
      <c r="G156">
        <v>1.172</v>
      </c>
      <c r="H156" t="s">
        <v>448</v>
      </c>
      <c r="I156">
        <v>255496</v>
      </c>
      <c r="J156">
        <v>4796</v>
      </c>
      <c r="K156">
        <v>0.0191</v>
      </c>
      <c r="L156">
        <v>0.05</v>
      </c>
      <c r="M156">
        <v>0.0737</v>
      </c>
      <c r="N156">
        <v>0.0237</v>
      </c>
      <c r="O156" t="s">
        <v>194</v>
      </c>
    </row>
    <row r="157" spans="1:15">
      <c r="A157" t="s">
        <v>442</v>
      </c>
      <c r="B157" t="s">
        <v>138</v>
      </c>
      <c r="C157" t="s">
        <v>173</v>
      </c>
      <c r="D157">
        <v>14500</v>
      </c>
      <c r="E157">
        <v>13.8644</v>
      </c>
      <c r="F157">
        <v>201034</v>
      </c>
      <c r="G157">
        <v>13.77</v>
      </c>
      <c r="H157" t="s">
        <v>449</v>
      </c>
      <c r="I157">
        <v>199665</v>
      </c>
      <c r="J157">
        <v>-1368.8</v>
      </c>
      <c r="K157">
        <v>-0.0068</v>
      </c>
      <c r="L157">
        <v>0.1</v>
      </c>
      <c r="M157">
        <v>0.0594</v>
      </c>
      <c r="N157">
        <v>-0.0406</v>
      </c>
      <c r="O157" t="s">
        <v>139</v>
      </c>
    </row>
    <row r="158" spans="1:15">
      <c r="A158" t="s">
        <v>442</v>
      </c>
      <c r="B158" t="s">
        <v>140</v>
      </c>
      <c r="C158" t="s">
        <v>160</v>
      </c>
      <c r="D158">
        <v>3700</v>
      </c>
      <c r="E158">
        <v>135.645</v>
      </c>
      <c r="F158">
        <v>501886.5</v>
      </c>
      <c r="G158">
        <v>135.653</v>
      </c>
      <c r="H158" t="s">
        <v>450</v>
      </c>
      <c r="I158">
        <v>501916.1</v>
      </c>
      <c r="J158">
        <v>29.6</v>
      </c>
      <c r="K158">
        <v>0.0001</v>
      </c>
      <c r="L158">
        <v>0.1</v>
      </c>
      <c r="M158">
        <v>0.1449</v>
      </c>
      <c r="N158">
        <v>0.0449</v>
      </c>
      <c r="O158" t="s">
        <v>451</v>
      </c>
    </row>
    <row r="159" spans="1:15">
      <c r="A159" t="s">
        <v>442</v>
      </c>
      <c r="B159" t="s">
        <v>142</v>
      </c>
      <c r="C159" t="s">
        <v>157</v>
      </c>
      <c r="D159">
        <v>3500</v>
      </c>
      <c r="E159">
        <v>141.2121</v>
      </c>
      <c r="F159">
        <v>494242.35</v>
      </c>
      <c r="G159">
        <v>141.278</v>
      </c>
      <c r="H159" t="s">
        <v>452</v>
      </c>
      <c r="I159">
        <v>494473</v>
      </c>
      <c r="J159">
        <v>230.65</v>
      </c>
      <c r="K159">
        <v>0.0005</v>
      </c>
      <c r="L159">
        <v>0.1</v>
      </c>
      <c r="M159">
        <v>0.1427</v>
      </c>
      <c r="N159">
        <v>0.0427</v>
      </c>
      <c r="O159" t="s">
        <v>453</v>
      </c>
    </row>
    <row r="160" spans="1:15">
      <c r="A160" t="s">
        <v>442</v>
      </c>
      <c r="B160" t="s">
        <v>144</v>
      </c>
      <c r="C160" t="s">
        <v>153</v>
      </c>
      <c r="D160">
        <v>2200</v>
      </c>
      <c r="E160">
        <v>113.462</v>
      </c>
      <c r="F160">
        <v>249616.4</v>
      </c>
      <c r="G160">
        <v>113.56</v>
      </c>
      <c r="H160" t="s">
        <v>298</v>
      </c>
      <c r="I160">
        <v>249832</v>
      </c>
      <c r="J160">
        <v>215.6</v>
      </c>
      <c r="K160">
        <v>0.0009</v>
      </c>
      <c r="L160">
        <v>0.05</v>
      </c>
      <c r="M160">
        <v>0.0721</v>
      </c>
      <c r="N160">
        <v>0.0221</v>
      </c>
      <c r="O160" t="s">
        <v>194</v>
      </c>
    </row>
    <row r="161" spans="1:15">
      <c r="A161" t="s">
        <v>442</v>
      </c>
      <c r="B161" t="s">
        <v>145</v>
      </c>
      <c r="C161" t="s">
        <v>155</v>
      </c>
      <c r="D161">
        <v>47800</v>
      </c>
      <c r="E161">
        <v>9.3302</v>
      </c>
      <c r="F161">
        <v>445983.56</v>
      </c>
      <c r="G161">
        <v>8.736</v>
      </c>
      <c r="H161" t="s">
        <v>454</v>
      </c>
      <c r="I161">
        <v>417580.8</v>
      </c>
      <c r="J161">
        <v>-28402.76</v>
      </c>
      <c r="K161">
        <v>-0.0637</v>
      </c>
      <c r="L161">
        <v>0.15</v>
      </c>
      <c r="M161">
        <v>0.1205</v>
      </c>
      <c r="N161">
        <v>-0.0295</v>
      </c>
      <c r="O161" t="s">
        <v>194</v>
      </c>
    </row>
    <row r="162" spans="1:15">
      <c r="A162" t="s">
        <v>442</v>
      </c>
      <c r="B162" t="s">
        <v>146</v>
      </c>
      <c r="C162" t="s">
        <v>416</v>
      </c>
      <c r="D162">
        <v>0</v>
      </c>
      <c r="E162">
        <v>0</v>
      </c>
      <c r="F162">
        <v>0</v>
      </c>
      <c r="G162">
        <v>100.517</v>
      </c>
      <c r="H162" t="s">
        <v>298</v>
      </c>
      <c r="I162">
        <v>0</v>
      </c>
      <c r="J162">
        <v>0</v>
      </c>
      <c r="K162">
        <v>0</v>
      </c>
      <c r="L162">
        <v>0.05</v>
      </c>
      <c r="M162">
        <v>0</v>
      </c>
      <c r="N162">
        <v>-0.05</v>
      </c>
      <c r="O162" t="s">
        <v>147</v>
      </c>
    </row>
    <row r="163" spans="1:15">
      <c r="A163" t="s">
        <v>442</v>
      </c>
      <c r="B163" t="s">
        <v>148</v>
      </c>
      <c r="C163" t="s">
        <v>174</v>
      </c>
      <c r="D163">
        <v>0</v>
      </c>
      <c r="E163">
        <v>0</v>
      </c>
      <c r="F163">
        <v>0</v>
      </c>
      <c r="G163">
        <v>100.002</v>
      </c>
      <c r="H163" t="s">
        <v>298</v>
      </c>
      <c r="I163">
        <v>0</v>
      </c>
      <c r="J163">
        <v>0</v>
      </c>
      <c r="K163">
        <v>0</v>
      </c>
      <c r="L163">
        <v>0.05</v>
      </c>
      <c r="M163">
        <v>0</v>
      </c>
      <c r="N163">
        <v>-0.05</v>
      </c>
      <c r="O163" t="s">
        <v>147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投资纪要</vt:lpstr>
      <vt:lpstr>汇总</vt:lpstr>
      <vt:lpstr>流水</vt:lpstr>
      <vt:lpstr>日报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65004</dc:creator>
  <cp:lastModifiedBy>wangjian</cp:lastModifiedBy>
  <dcterms:created xsi:type="dcterms:W3CDTF">2026-05-17T17:55:00Z</dcterms:created>
  <dcterms:modified xsi:type="dcterms:W3CDTF">2026-06-10T12:30:42Z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56193DD5E53642A78178CF55E8B5268D_11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