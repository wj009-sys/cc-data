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'流水'!$A$1:$F$24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  <numFmt numFmtId="173" formatCode="_ * #,##0.00_ ;_ * \-#,##0.00_ ;_ * &quot;-&quot;??.00_ ;_ @_ 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167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opLeftCell="A36" workbookViewId="0">
      <selection activeCell="A1" sqref="A1:E1"/>
    </sheetView>
  </sheetViews>
  <sheetFormatPr baseColWidth="8" defaultColWidth="9" defaultRowHeight="14.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6" t="inlineStr">
        <is>
          <t>500万资产配置 -- 投资纪律速查（优化版 2026-05-21）</t>
        </is>
      </c>
    </row>
    <row r="3" ht="16.5" customHeight="1" s="1">
      <c r="A3" s="47" t="inlineStr">
        <is>
          <t>一、统一阶梯止盈（7%/9%/12% 三档）</t>
        </is>
      </c>
    </row>
    <row r="4">
      <c r="A4" s="48" t="inlineStr">
        <is>
          <t>适用：510300/510500/588050/159915/512890/511380/518880 | 不适用：债底/现金</t>
        </is>
      </c>
    </row>
    <row r="5" ht="14.5" customHeight="1" s="1">
      <c r="A5" s="49" t="inlineStr">
        <is>
          <t>档位</t>
        </is>
      </c>
      <c r="B5" s="49" t="inlineStr">
        <is>
          <t>浮盈阈值</t>
        </is>
      </c>
      <c r="C5" s="49" t="inlineStr">
        <is>
          <t>触发条件</t>
        </is>
      </c>
      <c r="D5" s="49" t="inlineStr">
        <is>
          <t>减仓比例</t>
        </is>
      </c>
      <c r="E5" s="49" t="inlineStr">
        <is>
          <t>锁定规则</t>
        </is>
      </c>
    </row>
    <row r="6" ht="14.5" customHeight="1" s="1">
      <c r="A6" s="50" t="inlineStr">
        <is>
          <t>第一档</t>
        </is>
      </c>
      <c r="B6" s="50" t="inlineStr">
        <is>
          <t>&gt;= +7%</t>
        </is>
      </c>
      <c r="C6" s="50" t="inlineStr">
        <is>
          <t>成本价 x 1.07</t>
        </is>
      </c>
      <c r="D6" s="50" t="inlineStr">
        <is>
          <t>20%</t>
        </is>
      </c>
      <c r="E6" s="50" t="inlineStr">
        <is>
          <t>每档仅触发一次，标记[已兑现]</t>
        </is>
      </c>
    </row>
    <row r="7" ht="14.5" customHeight="1" s="1">
      <c r="A7" s="50" t="inlineStr">
        <is>
          <t>第二档</t>
        </is>
      </c>
      <c r="B7" s="50" t="inlineStr">
        <is>
          <t>&gt;= +9%</t>
        </is>
      </c>
      <c r="C7" s="50" t="inlineStr">
        <is>
          <t>成本价 x 1.09</t>
        </is>
      </c>
      <c r="D7" s="50" t="inlineStr">
        <is>
          <t>30%</t>
        </is>
      </c>
      <c r="E7" s="50" t="inlineStr">
        <is>
          <t>累计已减 50%</t>
        </is>
      </c>
    </row>
    <row r="8" ht="14.5" customHeight="1" s="1">
      <c r="A8" s="50" t="inlineStr">
        <is>
          <t>第三档</t>
        </is>
      </c>
      <c r="B8" s="50" t="inlineStr">
        <is>
          <t>&gt;= +12%</t>
        </is>
      </c>
      <c r="C8" s="50" t="inlineStr">
        <is>
          <t>成本价 x 1.12</t>
        </is>
      </c>
      <c r="D8" s="50" t="inlineStr">
        <is>
          <t>剩余全部 100%</t>
        </is>
      </c>
      <c r="E8" s="50" t="inlineStr">
        <is>
          <t>清仓止盈，本轮交易结束</t>
        </is>
      </c>
    </row>
    <row r="10">
      <c r="A10" s="51" t="inlineStr">
        <is>
          <t>[新增] 止盈资金须2个交易日内再配置，优先补给低仓位资产或买入511880/511990</t>
        </is>
      </c>
    </row>
    <row r="12" ht="16.5" customHeight="1" s="1">
      <c r="A12" s="47" t="inlineStr">
        <is>
          <t>二、高波动品种硬止损（科创50/创业板专用）</t>
        </is>
      </c>
    </row>
    <row r="13" ht="14.5" customHeight="1" s="1">
      <c r="A13" s="49" t="inlineStr">
        <is>
          <t>档位</t>
        </is>
      </c>
      <c r="B13" s="49" t="inlineStr">
        <is>
          <t>浮亏阈值</t>
        </is>
      </c>
      <c r="C13" s="49" t="inlineStr">
        <is>
          <t>次日执行动作</t>
        </is>
      </c>
      <c r="D13" s="49" t="inlineStr">
        <is>
          <t>减仓后状态</t>
        </is>
      </c>
      <c r="E13" s="49" t="inlineStr">
        <is>
          <t>备注</t>
        </is>
      </c>
    </row>
    <row r="14" ht="14.5" customHeight="1" s="1">
      <c r="A14" s="50" t="inlineStr">
        <is>
          <t>预警线</t>
        </is>
      </c>
      <c r="B14" s="50" t="inlineStr">
        <is>
          <t>&gt;= -5%</t>
        </is>
      </c>
      <c r="C14" s="50" t="inlineStr">
        <is>
          <t>记录台账，暂停新增买入</t>
        </is>
      </c>
      <c r="D14" s="50" t="inlineStr">
        <is>
          <t>保持仓位，进入观察</t>
        </is>
      </c>
      <c r="E14" s="50" t="inlineStr"/>
    </row>
    <row r="15" ht="14.5" customHeight="1" s="1">
      <c r="A15" s="50" t="inlineStr">
        <is>
          <t>止损A</t>
        </is>
      </c>
      <c r="B15" s="50" t="inlineStr">
        <is>
          <t>&gt;= -10%</t>
        </is>
      </c>
      <c r="C15" s="50" t="inlineStr">
        <is>
          <t>次日开盘市价卖出50%</t>
        </is>
      </c>
      <c r="D15" s="50" t="inlineStr">
        <is>
          <t>剩余~12.5万</t>
        </is>
      </c>
      <c r="E15" s="50" t="inlineStr">
        <is>
          <t>优化：放宽后</t>
        </is>
      </c>
    </row>
    <row r="16" ht="14.5" customHeight="1" s="1">
      <c r="A16" s="50" t="inlineStr">
        <is>
          <t>止损B</t>
        </is>
      </c>
      <c r="B16" s="50" t="inlineStr">
        <is>
          <t>&gt;= -15%</t>
        </is>
      </c>
      <c r="C16" s="50" t="inlineStr">
        <is>
          <t>次日开盘市价卖出100%</t>
        </is>
      </c>
      <c r="D16" s="50" t="inlineStr">
        <is>
          <t>彻底清仓，观察20日</t>
        </is>
      </c>
      <c r="E16" s="50" t="inlineStr">
        <is>
          <t>优化：放宽后</t>
        </is>
      </c>
    </row>
    <row r="18">
      <c r="A18" s="51" t="inlineStr">
        <is>
          <t>[新增] 动态止损：价格跌破20日均线且累计跌幅超8% -&gt; 预警，暂停新增买入</t>
        </is>
      </c>
    </row>
    <row r="20" ht="16.5" customHeight="1" s="1">
      <c r="A20" s="47" t="inlineStr">
        <is>
          <t>三、其他权益品种统一止损（-15%）</t>
        </is>
      </c>
    </row>
    <row r="21">
      <c r="A21" s="48" t="inlineStr">
        <is>
          <t>适用：510300/510500/512890/518880/511380  |  清仓后观察40个交易日，站稳20日均线方可重建</t>
        </is>
      </c>
    </row>
    <row r="23" ht="16.5" customHeight="1" s="1">
      <c r="A23" s="47" t="inlineStr">
        <is>
          <t>四、组合再平衡（优化版）</t>
        </is>
      </c>
    </row>
    <row r="24" ht="14.5" customHeight="1" s="1">
      <c r="A24" s="49" t="inlineStr">
        <is>
          <t>偏离程度</t>
        </is>
      </c>
      <c r="B24" s="49" t="inlineStr">
        <is>
          <t>阈值</t>
        </is>
      </c>
      <c r="C24" s="49" t="inlineStr">
        <is>
          <t>执行动作</t>
        </is>
      </c>
      <c r="D24" s="49" t="inlineStr">
        <is>
          <t>完成时限</t>
        </is>
      </c>
      <c r="E24" s="49" t="inlineStr">
        <is>
          <t>备注</t>
        </is>
      </c>
    </row>
    <row r="25" ht="14.5" customHeight="1" s="1">
      <c r="A25" s="50" t="inlineStr">
        <is>
          <t>预警线</t>
        </is>
      </c>
      <c r="B25" s="50" t="inlineStr">
        <is>
          <t>+/- 3%</t>
        </is>
      </c>
      <c r="C25" s="50" t="inlineStr">
        <is>
          <t>记录台账，观察准备资金</t>
        </is>
      </c>
      <c r="D25" s="50" t="inlineStr">
        <is>
          <t>不强制操作</t>
        </is>
      </c>
      <c r="E25" s="50" t="inlineStr">
        <is>
          <t>新增</t>
        </is>
      </c>
    </row>
    <row r="26" ht="14.5" customHeight="1" s="1">
      <c r="A26" s="50" t="inlineStr">
        <is>
          <t>触发线</t>
        </is>
      </c>
      <c r="B26" s="50" t="inlineStr">
        <is>
          <t>+/- 7%</t>
        </is>
      </c>
      <c r="C26" s="50" t="inlineStr">
        <is>
          <t>强制卖出超配，买入低配</t>
        </is>
      </c>
      <c r="D26" s="50" t="inlineStr">
        <is>
          <t>2个交易日内</t>
        </is>
      </c>
      <c r="E26" s="50" t="inlineStr">
        <is>
          <t>放宽后</t>
        </is>
      </c>
    </row>
    <row r="27" ht="14.5" customHeight="1" s="1">
      <c r="A27" s="50" t="inlineStr">
        <is>
          <t>紧急线</t>
        </is>
      </c>
      <c r="B27" s="50" t="inlineStr">
        <is>
          <t>+/- 10%</t>
        </is>
      </c>
      <c r="C27" s="50" t="inlineStr">
        <is>
          <t>次日必须完成纠偏</t>
        </is>
      </c>
      <c r="D27" s="50" t="inlineStr">
        <is>
          <t>次日收盘前</t>
        </is>
      </c>
      <c r="E27" s="50" t="inlineStr">
        <is>
          <t>新增</t>
        </is>
      </c>
    </row>
    <row r="29">
      <c r="A29" s="51" t="inlineStr">
        <is>
          <t>[新增] 估值再平衡：沪深300 PE&gt;70%分位 -&gt; 权益降5% -&gt; 转入511260/511010</t>
        </is>
      </c>
    </row>
    <row r="30">
      <c r="A30" s="52" t="inlineStr">
        <is>
          <t>卖出排序：黄金&gt;科创/创业&gt;可转债&gt;中证500&gt;沪深300&gt;红利低波</t>
        </is>
      </c>
    </row>
    <row r="32" ht="16.5" customHeight="1" s="1">
      <c r="A32" s="47" t="inlineStr">
        <is>
          <t>五、熔断与黑天鹅应对</t>
        </is>
      </c>
    </row>
    <row r="33" ht="14.5" customHeight="1" s="1">
      <c r="A33" s="49" t="inlineStr">
        <is>
          <t>档位</t>
        </is>
      </c>
      <c r="B33" s="49" t="inlineStr">
        <is>
          <t>组合回撤</t>
        </is>
      </c>
      <c r="C33" s="49" t="inlineStr">
        <is>
          <t>触发状态</t>
        </is>
      </c>
      <c r="D33" s="49" t="inlineStr">
        <is>
          <t>强制动作</t>
        </is>
      </c>
      <c r="E33" s="49" t="inlineStr">
        <is>
          <t>备注</t>
        </is>
      </c>
    </row>
    <row r="34" ht="14.5" customHeight="1" s="1">
      <c r="A34" s="50" t="inlineStr">
        <is>
          <t>绿色</t>
        </is>
      </c>
      <c r="B34" s="50" t="inlineStr">
        <is>
          <t>&lt; -5%</t>
        </is>
      </c>
      <c r="C34" s="50" t="inlineStr">
        <is>
          <t>正常波动</t>
        </is>
      </c>
      <c r="D34" s="50" t="inlineStr">
        <is>
          <t>维持既有纪律</t>
        </is>
      </c>
      <c r="E34" s="50" t="inlineStr"/>
    </row>
    <row r="35" ht="14.5" customHeight="1" s="1">
      <c r="A35" s="50" t="inlineStr">
        <is>
          <t>黄色</t>
        </is>
      </c>
      <c r="B35" s="50" t="inlineStr">
        <is>
          <t>&gt;= -10%</t>
        </is>
      </c>
      <c r="C35" s="50" t="inlineStr">
        <is>
          <t>组合预警</t>
        </is>
      </c>
      <c r="D35" s="50" t="inlineStr">
        <is>
          <t>暂停新建仓+追涨，仅允许止盈/止损/再平衡</t>
        </is>
      </c>
      <c r="E35" s="50" t="inlineStr"/>
    </row>
    <row r="36" ht="14.5" customHeight="1" s="1">
      <c r="A36" s="50" t="inlineStr">
        <is>
          <t>红色</t>
        </is>
      </c>
      <c r="B36" s="50" t="inlineStr">
        <is>
          <t>&gt;= -12%</t>
        </is>
      </c>
      <c r="C36" s="50" t="inlineStr">
        <is>
          <t>组合熔断</t>
        </is>
      </c>
      <c r="D36" s="50" t="inlineStr">
        <is>
          <t>权益压至60%以下，资金转债/货基</t>
        </is>
      </c>
      <c r="E36" s="50" t="inlineStr">
        <is>
          <t>不变</t>
        </is>
      </c>
    </row>
    <row r="37" ht="14.5" customHeight="1" s="1">
      <c r="A37" s="50" t="inlineStr">
        <is>
          <t>黑天鹅</t>
        </is>
      </c>
      <c r="B37" s="50" t="inlineStr">
        <is>
          <t>&gt;= -15%</t>
        </is>
      </c>
      <c r="C37" s="50" t="inlineStr">
        <is>
          <t>极端风险</t>
        </is>
      </c>
      <c r="D37" s="50" t="inlineStr">
        <is>
          <t>权益压至40%以下；保留20%现金+40%债券</t>
        </is>
      </c>
      <c r="E37" s="50" t="inlineStr">
        <is>
          <t>新增</t>
        </is>
      </c>
    </row>
    <row r="39">
      <c r="A39" s="52" t="inlineStr">
        <is>
          <t>黑天鹅卖出顺序：科创50&gt;创业板&gt;黄金(保留底10万)&gt;中证500&gt;可转债 | 恢复：回撤&lt;-10%</t>
        </is>
      </c>
    </row>
    <row r="40">
      <c r="A40" s="51" t="inlineStr">
        <is>
          <t>不可抗拒条款：触发当日必须下达卖出指令，不得以等反弹为由拖延</t>
        </is>
      </c>
    </row>
    <row r="42" ht="16.5" customHeight="1" s="1">
      <c r="A42" s="47" t="inlineStr">
        <is>
          <t>六、黄金ETF（518880）建仓（优化版：底仓+定投+大跌加码）</t>
        </is>
      </c>
    </row>
    <row r="43" ht="14.5" customHeight="1" s="1">
      <c r="A43" s="49" t="inlineStr">
        <is>
          <t>阶段</t>
        </is>
      </c>
      <c r="B43" s="49" t="inlineStr">
        <is>
          <t>触发条件</t>
        </is>
      </c>
      <c r="C43" s="49" t="inlineStr">
        <is>
          <t>单次投入</t>
        </is>
      </c>
      <c r="D43" s="49" t="inlineStr">
        <is>
          <t>累计投入</t>
        </is>
      </c>
      <c r="E43" s="49" t="inlineStr">
        <is>
          <t>仓位进度</t>
        </is>
      </c>
    </row>
    <row r="44" ht="14.5" customHeight="1" s="1">
      <c r="A44" s="50" t="inlineStr">
        <is>
          <t>底仓先行</t>
        </is>
      </c>
      <c r="B44" s="50" t="inlineStr">
        <is>
          <t>立即执行</t>
        </is>
      </c>
      <c r="C44" s="50" t="inlineStr">
        <is>
          <t>25万</t>
        </is>
      </c>
      <c r="D44" s="50" t="inlineStr">
        <is>
          <t>25万</t>
        </is>
      </c>
      <c r="E44" s="50" t="inlineStr">
        <is>
          <t>33%</t>
        </is>
      </c>
    </row>
    <row r="45" ht="14.5" customHeight="1" s="1">
      <c r="A45" s="50" t="inlineStr">
        <is>
          <t>定投阶段</t>
        </is>
      </c>
      <c r="B45" s="50" t="inlineStr">
        <is>
          <t>每月固定（第2-12月）</t>
        </is>
      </c>
      <c r="C45" s="50" t="inlineStr">
        <is>
          <t>4.5万/月</t>
        </is>
      </c>
      <c r="D45" s="50" t="inlineStr">
        <is>
          <t>25-70万</t>
        </is>
      </c>
      <c r="E45" s="50" t="inlineStr">
        <is>
          <t>33%-93%</t>
        </is>
      </c>
    </row>
    <row r="46" ht="14.5" customHeight="1" s="1">
      <c r="A46" s="50" t="inlineStr">
        <is>
          <t>大跌加码</t>
        </is>
      </c>
      <c r="B46" s="50" t="inlineStr">
        <is>
          <t>单月跌幅超5%</t>
        </is>
      </c>
      <c r="C46" s="50" t="inlineStr">
        <is>
          <t>5万/次</t>
        </is>
      </c>
      <c r="D46" s="50" t="inlineStr">
        <is>
          <t>累计不超过75万</t>
        </is>
      </c>
      <c r="E46" s="50" t="inlineStr">
        <is>
          <t>灵活补充</t>
        </is>
      </c>
    </row>
    <row r="47" ht="14.5" customHeight="1" s="1">
      <c r="A47" s="50" t="inlineStr">
        <is>
          <t>收官</t>
        </is>
      </c>
      <c r="B47" s="50" t="inlineStr">
        <is>
          <t>12个月完成或累计达75万</t>
        </is>
      </c>
      <c r="C47" s="50" t="inlineStr">
        <is>
          <t>补齐剩余</t>
        </is>
      </c>
      <c r="D47" s="50" t="inlineStr">
        <is>
          <t>75万</t>
        </is>
      </c>
      <c r="E47" s="50" t="inlineStr">
        <is>
          <t>100%</t>
        </is>
      </c>
    </row>
    <row r="49">
      <c r="A49" s="52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7" t="inlineStr">
        <is>
          <t>七、盈利提取规则（新增）</t>
        </is>
      </c>
    </row>
    <row r="52" ht="14.5" customHeight="1" s="1">
      <c r="A52" s="53" t="inlineStr">
        <is>
          <t>年收益&gt;15%时提取50%至独立现金账户，作为胜利果实锁定，不计入再平衡</t>
        </is>
      </c>
    </row>
    <row r="54" ht="16.5" customHeight="1" s="1">
      <c r="A54" s="47" t="inlineStr">
        <is>
          <t>八、流动性三原则</t>
        </is>
      </c>
    </row>
    <row r="55" ht="14.5" customHeight="1" s="1">
      <c r="A55" s="53" t="inlineStr">
        <is>
          <t>511880+511990(50万)：除非系统暴跌补仓，否则不动 | 511360(25万)：T+0战术 | 类现金合计&gt;=75万</t>
        </is>
      </c>
    </row>
  </sheetData>
  <mergeCells count="20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29:E29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"/>
  <sheetViews>
    <sheetView tabSelected="1" workbookViewId="0">
      <selection activeCell="N4" sqref="N4"/>
    </sheetView>
  </sheetViews>
  <sheetFormatPr baseColWidth="8" defaultColWidth="8.731481481481479" defaultRowHeight="14.4"/>
  <cols>
    <col width="7.5462962962963" customWidth="1" style="1" min="1" max="1"/>
    <col width="25.7777777777778" customWidth="1" style="1" min="2" max="2"/>
    <col hidden="1" width="16.2685185185185" customWidth="1" style="1" min="3" max="3"/>
    <col width="16.2685185185185" customWidth="1" style="1" min="4" max="4"/>
    <col width="12" customWidth="1" style="1" min="5" max="5"/>
    <col width="11.7777777777778" customWidth="1" style="1" min="6" max="6"/>
    <col width="9.66666666666667" customWidth="1" style="1" min="7" max="7"/>
    <col width="10.6388888888889" customWidth="1" style="54" min="8" max="8"/>
    <col width="10.6388888888889" customWidth="1" style="55" min="9" max="9"/>
    <col width="16.4444444444444" customWidth="1" style="56" min="10" max="10"/>
    <col width="14.2222222222222" customWidth="1" style="57" min="11" max="11"/>
    <col width="15.1851851851852" customWidth="1" style="1" min="12" max="12"/>
    <col width="10.6388888888889" customWidth="1" style="57" min="13" max="13"/>
    <col width="43.4444444444444" customWidth="1" style="58" min="14" max="14"/>
    <col width="16.4444444444444" customWidth="1" style="1" min="15" max="15"/>
    <col width="9.546296296296299" customWidth="1" style="1" min="16" max="16"/>
    <col width="12.8148148148148" customWidth="1" style="1" min="17" max="18"/>
  </cols>
  <sheetData>
    <row r="1" ht="115.2" customHeight="1" s="1">
      <c r="A1" s="16" t="inlineStr">
        <is>
          <t>更新日期: 2026-06-15 (数据日期: 2026-06-15)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9" t="inlineStr">
        <is>
          <t>成本价</t>
        </is>
      </c>
      <c r="I1" s="60" t="inlineStr">
        <is>
          <t>数量</t>
        </is>
      </c>
      <c r="J1" s="61" t="inlineStr">
        <is>
          <t>成本</t>
        </is>
      </c>
      <c r="K1" s="17" t="inlineStr">
        <is>
          <t>今日收盘价</t>
        </is>
      </c>
      <c r="L1" s="61" t="inlineStr">
        <is>
          <t>浮盈/亏</t>
        </is>
      </c>
      <c r="M1" s="62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 customFormat="1" s="11">
      <c r="A2" s="22" t="n">
        <v>510300</v>
      </c>
      <c r="B2" s="23" t="inlineStr">
        <is>
          <t>沪深300ETF</t>
        </is>
      </c>
      <c r="C2" s="63" t="n">
        <v>5000000</v>
      </c>
      <c r="D2" s="64">
        <f>E2*C2</f>
        <v/>
      </c>
      <c r="E2" s="26" t="n">
        <v>0.15</v>
      </c>
      <c r="F2" s="65" t="n">
        <v>0.2156</v>
      </c>
      <c r="G2" s="65" t="n">
        <v>0.06560000000000001</v>
      </c>
      <c r="H2" s="66" t="n">
        <v>4.885</v>
      </c>
      <c r="I2" s="67" t="n">
        <v>153800</v>
      </c>
      <c r="J2" s="68" t="n">
        <v>751304</v>
      </c>
      <c r="K2" s="69" t="n">
        <v>4.818</v>
      </c>
      <c r="L2" s="70" t="n">
        <v>-10304.6</v>
      </c>
      <c r="M2" s="71" t="n">
        <v>-0.0137</v>
      </c>
      <c r="N2" s="23" t="inlineStr">
        <is>
          <t>📊权重预警偏离+6.6%</t>
        </is>
      </c>
      <c r="O2" s="72" t="n"/>
      <c r="P2" s="35" t="n"/>
      <c r="Q2" s="35" t="n"/>
      <c r="R2" s="11" t="n">
        <v>42600</v>
      </c>
    </row>
    <row r="3">
      <c r="A3" s="36" t="n">
        <v>510500</v>
      </c>
      <c r="B3" s="36" t="inlineStr">
        <is>
          <t>南方中证500ETF</t>
        </is>
      </c>
      <c r="C3" s="73" t="n">
        <v>5000000</v>
      </c>
      <c r="D3" s="74">
        <f>E3*C3</f>
        <v/>
      </c>
      <c r="E3" s="39" t="n">
        <v>0.1</v>
      </c>
      <c r="F3" s="75" t="n">
        <v>0.048</v>
      </c>
      <c r="G3" s="75" t="n">
        <v>-0.052</v>
      </c>
      <c r="H3" s="76" t="n">
        <v>8.696</v>
      </c>
      <c r="I3" s="77" t="n">
        <v>20000</v>
      </c>
      <c r="J3" s="78">
        <f>H3*I3</f>
        <v/>
      </c>
      <c r="K3" s="79" t="n">
        <v>8.242000000000001</v>
      </c>
      <c r="L3" s="80" t="n">
        <v>-9080</v>
      </c>
      <c r="M3" s="62" t="n">
        <v>-0.0522</v>
      </c>
      <c r="N3" s="4" t="inlineStr">
        <is>
          <t>📊权重预警偏离-5.2%</t>
        </is>
      </c>
      <c r="O3" s="72">
        <f>D3-J3</f>
        <v/>
      </c>
      <c r="R3" s="0" t="n">
        <v>38700</v>
      </c>
    </row>
    <row r="4">
      <c r="A4" s="36" t="n">
        <v>588050</v>
      </c>
      <c r="B4" s="36" t="inlineStr">
        <is>
          <t>科创50ETF</t>
        </is>
      </c>
      <c r="C4" s="73" t="n">
        <v>5000000</v>
      </c>
      <c r="D4" s="74">
        <f>E4*C4</f>
        <v/>
      </c>
      <c r="E4" s="39" t="n">
        <v>0.05</v>
      </c>
      <c r="F4" s="75" t="n">
        <v>0.0298</v>
      </c>
      <c r="G4" s="75" t="n">
        <v>-0.0202</v>
      </c>
      <c r="H4" s="76" t="n">
        <v>1.838</v>
      </c>
      <c r="I4" s="77" t="n">
        <v>60000</v>
      </c>
      <c r="J4" s="78">
        <f>H4*I4</f>
        <v/>
      </c>
      <c r="K4" s="79" t="n">
        <v>1.709</v>
      </c>
      <c r="L4" s="80" t="n">
        <v>-7740</v>
      </c>
      <c r="M4" s="62" t="n">
        <v>-0.0702</v>
      </c>
      <c r="N4" s="4" t="inlineStr">
        <is>
          <t>⚡预警：浮亏-7.0% &gt;= -5%，暂停新增买入</t>
        </is>
      </c>
      <c r="O4" s="72">
        <f>D4-J4</f>
        <v/>
      </c>
      <c r="R4" s="0" t="n">
        <v>77900</v>
      </c>
    </row>
    <row r="5" customFormat="1" s="11">
      <c r="A5" s="22" t="n">
        <v>159915</v>
      </c>
      <c r="B5" s="22" t="inlineStr">
        <is>
          <t>易方达创业板ETF</t>
        </is>
      </c>
      <c r="C5" s="63" t="n">
        <v>5000000</v>
      </c>
      <c r="D5" s="64">
        <f>E5*C5</f>
        <v/>
      </c>
      <c r="E5" s="26" t="n">
        <v>0.05</v>
      </c>
      <c r="F5" s="65" t="n">
        <v>0.07049999999999999</v>
      </c>
      <c r="G5" s="65" t="n">
        <v>0.0205</v>
      </c>
      <c r="H5" s="69" t="n">
        <v>3.968</v>
      </c>
      <c r="I5" s="67" t="n">
        <v>63000</v>
      </c>
      <c r="J5" s="68">
        <f>H5*I5</f>
        <v/>
      </c>
      <c r="K5" s="79" t="n">
        <v>3.846</v>
      </c>
      <c r="L5" s="70" t="n">
        <v>-7686</v>
      </c>
      <c r="M5" s="71" t="n">
        <v>-0.0307</v>
      </c>
      <c r="N5" s="23" t="n"/>
      <c r="O5" s="72" t="n"/>
    </row>
    <row r="6" customFormat="1" s="11">
      <c r="A6" s="22" t="n">
        <v>512890</v>
      </c>
      <c r="B6" s="22" t="inlineStr">
        <is>
          <t>华泰柏瑞红利低波ETF</t>
        </is>
      </c>
      <c r="C6" s="63" t="n">
        <v>5000000</v>
      </c>
      <c r="D6" s="64">
        <f>E6*C6</f>
        <v/>
      </c>
      <c r="E6" s="26" t="n">
        <v>0.05</v>
      </c>
      <c r="F6" s="65" t="n">
        <v>0.0743</v>
      </c>
      <c r="G6" s="65" t="n">
        <v>0.0243</v>
      </c>
      <c r="H6" s="69" t="n">
        <v>1.15</v>
      </c>
      <c r="I6" s="67" t="n">
        <v>218000</v>
      </c>
      <c r="J6" s="68">
        <f>H6*I6</f>
        <v/>
      </c>
      <c r="K6" s="79" t="n">
        <v>1.172</v>
      </c>
      <c r="L6" s="70" t="n">
        <v>4796</v>
      </c>
      <c r="M6" s="71" t="n">
        <v>0.0191</v>
      </c>
      <c r="N6" s="23" t="n"/>
      <c r="O6" s="72" t="n"/>
    </row>
    <row r="7">
      <c r="A7" s="36" t="n">
        <v>511380</v>
      </c>
      <c r="B7" s="36" t="inlineStr">
        <is>
          <t>可转债ETF</t>
        </is>
      </c>
      <c r="C7" s="73" t="n">
        <v>5000000</v>
      </c>
      <c r="D7" s="74">
        <f>E7*C7</f>
        <v/>
      </c>
      <c r="E7" s="39" t="n">
        <v>0.1</v>
      </c>
      <c r="F7" s="75" t="n">
        <v>0.0588</v>
      </c>
      <c r="G7" s="75" t="n">
        <v>-0.0412</v>
      </c>
      <c r="H7" s="76" t="n">
        <v>13.8644</v>
      </c>
      <c r="I7" s="77" t="n">
        <v>14500</v>
      </c>
      <c r="J7" s="78" t="n">
        <v>201034</v>
      </c>
      <c r="K7" s="76" t="n">
        <v>13.929</v>
      </c>
      <c r="L7" s="80" t="n">
        <v>936.7</v>
      </c>
      <c r="M7" s="62" t="n">
        <v>0.0047</v>
      </c>
      <c r="N7" s="4" t="inlineStr">
        <is>
          <t>📊权重预警偏离-4.1%</t>
        </is>
      </c>
      <c r="O7" s="72">
        <f>D7-J7</f>
        <v/>
      </c>
    </row>
    <row r="8" customFormat="1" s="11">
      <c r="A8" s="22" t="n">
        <v>511260</v>
      </c>
      <c r="B8" s="22" t="inlineStr">
        <is>
          <t>国泰上证10年期国债ETF</t>
        </is>
      </c>
      <c r="C8" s="63" t="n">
        <v>5000000</v>
      </c>
      <c r="D8" s="64">
        <f>E8*C8</f>
        <v/>
      </c>
      <c r="E8" s="26" t="n">
        <v>0.1</v>
      </c>
      <c r="F8" s="65" t="n">
        <v>0.146</v>
      </c>
      <c r="G8" s="65" t="n">
        <v>0.046</v>
      </c>
      <c r="H8" s="69" t="n">
        <v>135.645</v>
      </c>
      <c r="I8" s="67" t="n">
        <v>3700</v>
      </c>
      <c r="J8" s="68">
        <f>H8*I8</f>
        <v/>
      </c>
      <c r="K8" s="79" t="n">
        <v>135.582</v>
      </c>
      <c r="L8" s="70" t="n">
        <v>-233.1</v>
      </c>
      <c r="M8" s="71" t="n">
        <v>-0.0005</v>
      </c>
      <c r="N8" s="23" t="inlineStr">
        <is>
          <t>📊权重预警偏离+4.6%</t>
        </is>
      </c>
      <c r="O8" s="72" t="n"/>
    </row>
    <row r="9" customFormat="1" s="11">
      <c r="A9" s="22" t="n">
        <v>511010</v>
      </c>
      <c r="B9" s="22" t="inlineStr">
        <is>
          <t>国泰上证5年期国债ETF</t>
        </is>
      </c>
      <c r="C9" s="63" t="n">
        <v>5000000</v>
      </c>
      <c r="D9" s="64">
        <f>E9*C9</f>
        <v/>
      </c>
      <c r="E9" s="26" t="n">
        <v>0.1</v>
      </c>
      <c r="F9" s="65" t="n">
        <v>0.1438</v>
      </c>
      <c r="G9" s="65" t="n">
        <v>0.0438</v>
      </c>
      <c r="H9" s="69" t="n">
        <v>141.2121</v>
      </c>
      <c r="I9" s="67" t="n">
        <v>3500</v>
      </c>
      <c r="J9" s="68" t="n">
        <v>494242.4</v>
      </c>
      <c r="K9" s="79" t="n">
        <v>141.163</v>
      </c>
      <c r="L9" s="70" t="n">
        <v>-171.85</v>
      </c>
      <c r="M9" s="71" t="n">
        <v>-0.0003</v>
      </c>
      <c r="N9" s="23" t="inlineStr">
        <is>
          <t>📊权重预警偏离+4.4%</t>
        </is>
      </c>
      <c r="O9" s="72" t="n"/>
    </row>
    <row r="10" customFormat="1" s="11">
      <c r="A10" s="22" t="n">
        <v>511360</v>
      </c>
      <c r="B10" s="22" t="inlineStr">
        <is>
          <t>海富通中证短融ETF</t>
        </is>
      </c>
      <c r="C10" s="63" t="n">
        <v>5000000</v>
      </c>
      <c r="D10" s="64">
        <f>E10*C10</f>
        <v/>
      </c>
      <c r="E10" s="26" t="n">
        <v>0.05</v>
      </c>
      <c r="F10" s="65" t="n">
        <v>0.0727</v>
      </c>
      <c r="G10" s="65" t="n">
        <v>0.0227</v>
      </c>
      <c r="H10" s="69" t="n">
        <v>113.462</v>
      </c>
      <c r="I10" s="67" t="n">
        <v>2200</v>
      </c>
      <c r="J10" s="68">
        <f>H10*I10</f>
        <v/>
      </c>
      <c r="K10" s="79" t="n">
        <v>113.538</v>
      </c>
      <c r="L10" s="70" t="n">
        <v>167.2</v>
      </c>
      <c r="M10" s="71" t="n">
        <v>0.0007</v>
      </c>
      <c r="N10" s="23" t="n"/>
      <c r="O10" s="72" t="n"/>
    </row>
    <row r="11">
      <c r="A11" s="36" t="n">
        <v>518880</v>
      </c>
      <c r="B11" s="36" t="inlineStr">
        <is>
          <t>华安黄金ETF</t>
        </is>
      </c>
      <c r="C11" s="73" t="n">
        <v>5000000</v>
      </c>
      <c r="D11" s="74">
        <f>E11*C11</f>
        <v/>
      </c>
      <c r="E11" s="39" t="n">
        <v>0.15</v>
      </c>
      <c r="F11" s="75" t="n">
        <v>0.1406</v>
      </c>
      <c r="G11" s="75" t="n">
        <v>-0.0094</v>
      </c>
      <c r="H11" s="81" t="n">
        <v>9.232699999999999</v>
      </c>
      <c r="I11" s="77" t="n">
        <v>55800</v>
      </c>
      <c r="J11" s="78">
        <f>H11*I11</f>
        <v/>
      </c>
      <c r="K11" s="79" t="n">
        <v>8.659000000000001</v>
      </c>
      <c r="L11" s="80" t="n">
        <v>-32012.46</v>
      </c>
      <c r="M11" s="62" t="n">
        <v>-0.0621</v>
      </c>
      <c r="N11" s="4" t="n"/>
      <c r="O11" s="72">
        <f>D11-J11</f>
        <v/>
      </c>
    </row>
    <row r="12">
      <c r="A12" s="36" t="n">
        <v>511880</v>
      </c>
      <c r="B12" s="36" t="inlineStr">
        <is>
          <t>银华日利ETF</t>
        </is>
      </c>
      <c r="C12" s="73" t="n">
        <v>5000000</v>
      </c>
      <c r="D12" s="74">
        <f>E12*C12</f>
        <v/>
      </c>
      <c r="E12" s="39" t="n">
        <v>0.05</v>
      </c>
      <c r="F12" s="75" t="n">
        <v>0</v>
      </c>
      <c r="G12" s="75" t="n">
        <v>-0.05</v>
      </c>
      <c r="H12" s="76" t="n"/>
      <c r="I12" s="77" t="n"/>
      <c r="J12" s="78">
        <f>H12*I12</f>
        <v/>
      </c>
      <c r="K12" s="76" t="n">
        <v>100.517</v>
      </c>
      <c r="L12" s="80" t="n">
        <v>0</v>
      </c>
      <c r="M12" s="62" t="n">
        <v>0</v>
      </c>
      <c r="N12" s="4" t="inlineStr">
        <is>
          <t>📊权重预警偏离-5.0%</t>
        </is>
      </c>
      <c r="O12" s="72">
        <f>D12-J12</f>
        <v/>
      </c>
    </row>
    <row r="13">
      <c r="A13" s="36" t="n">
        <v>511990</v>
      </c>
      <c r="B13" s="36" t="inlineStr">
        <is>
          <t>华宝添益ETF</t>
        </is>
      </c>
      <c r="C13" s="73" t="n">
        <v>5000000</v>
      </c>
      <c r="D13" s="74">
        <f>E13*C13</f>
        <v/>
      </c>
      <c r="E13" s="39" t="n">
        <v>0.05</v>
      </c>
      <c r="F13" s="75" t="n">
        <v>0</v>
      </c>
      <c r="G13" s="75" t="n">
        <v>-0.05</v>
      </c>
      <c r="H13" s="76" t="n"/>
      <c r="I13" s="77" t="n"/>
      <c r="J13" s="78">
        <f>H13*I13</f>
        <v/>
      </c>
      <c r="K13" s="79" t="n">
        <v>100.003</v>
      </c>
      <c r="L13" s="80" t="n">
        <v>0</v>
      </c>
      <c r="M13" s="62" t="n">
        <v>0</v>
      </c>
      <c r="N13" s="4" t="inlineStr">
        <is>
          <t>📊权重预警偏离-5.0%</t>
        </is>
      </c>
      <c r="O13" s="72">
        <f>D13-J13</f>
        <v/>
      </c>
    </row>
    <row r="14">
      <c r="A14" s="4" t="inlineStr"/>
      <c r="B14" s="4" t="inlineStr"/>
      <c r="C14" s="4" t="inlineStr"/>
      <c r="D14" s="78">
        <f>SUM(D2:D13)</f>
        <v/>
      </c>
      <c r="E14" s="39" t="n"/>
      <c r="F14" s="39" t="n"/>
      <c r="G14" s="4" t="inlineStr"/>
      <c r="H14" s="76" t="inlineStr"/>
      <c r="I14" s="77" t="inlineStr"/>
      <c r="J14" s="78">
        <f>SUM(J2:J13)</f>
        <v/>
      </c>
      <c r="K14" s="4" t="n"/>
      <c r="L14" s="78">
        <f>SUM(L2:L13)</f>
        <v/>
      </c>
      <c r="M14" s="62">
        <f>L14/J14</f>
        <v/>
      </c>
      <c r="N14" s="4" t="inlineStr"/>
      <c r="O14" s="78">
        <f>D14-J14</f>
        <v/>
      </c>
    </row>
    <row r="17">
      <c r="J17" s="82" t="n">
        <v>3428935.7</v>
      </c>
    </row>
    <row r="21">
      <c r="J21" s="8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F24" sqref="F24"/>
    </sheetView>
  </sheetViews>
  <sheetFormatPr baseColWidth="8" defaultColWidth="9" defaultRowHeight="14.4"/>
  <cols>
    <col width="20.8148148148148" customWidth="1" style="83" min="1" max="1"/>
    <col width="7.5462962962963" customWidth="1" style="1" min="2" max="2"/>
    <col width="12.9074074074074" customWidth="1" style="1" min="3" max="3"/>
    <col width="10.6388888888889" customWidth="1" style="1" min="4" max="4"/>
    <col width="14" customWidth="1" style="1" min="5" max="5"/>
    <col width="16.4444444444444" customWidth="1" style="1" min="6" max="6"/>
  </cols>
  <sheetData>
    <row r="1">
      <c r="A1" s="84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84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85" t="n">
        <v>113.462</v>
      </c>
      <c r="E2" s="77" t="n">
        <v>2200</v>
      </c>
      <c r="F2" s="78">
        <f>D2*E2</f>
        <v/>
      </c>
    </row>
    <row r="3">
      <c r="A3" s="84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85" t="n">
        <v>9.497999999999999</v>
      </c>
      <c r="E3" s="77" t="n">
        <v>15800</v>
      </c>
      <c r="F3" s="78">
        <f>D3*E3</f>
        <v/>
      </c>
    </row>
    <row r="4">
      <c r="A4" s="84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85" t="n">
        <v>141.253</v>
      </c>
      <c r="E4" s="77" t="n">
        <v>800</v>
      </c>
      <c r="F4" s="78">
        <f>D4*E4</f>
        <v/>
      </c>
    </row>
    <row r="5">
      <c r="A5" s="84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85" t="n">
        <v>135.645</v>
      </c>
      <c r="E5" s="77" t="n">
        <v>3700</v>
      </c>
      <c r="F5" s="78">
        <f>D5*E5</f>
        <v/>
      </c>
    </row>
    <row r="6">
      <c r="A6" s="84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85" t="n">
        <v>4.942</v>
      </c>
      <c r="E6" s="77" t="n">
        <v>70000</v>
      </c>
      <c r="F6" s="78">
        <f>D6*E6</f>
        <v/>
      </c>
    </row>
    <row r="7">
      <c r="A7" s="84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85" t="n">
        <v>3.968</v>
      </c>
      <c r="E7" s="77" t="n">
        <v>63000</v>
      </c>
      <c r="F7" s="78">
        <f>D7*E7</f>
        <v/>
      </c>
    </row>
    <row r="8">
      <c r="A8" s="84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85" t="n">
        <v>8.696</v>
      </c>
      <c r="E8" s="77" t="n">
        <v>4000</v>
      </c>
      <c r="F8" s="78">
        <f>D8*E8</f>
        <v/>
      </c>
    </row>
    <row r="9">
      <c r="A9" s="84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85" t="n">
        <v>8.696</v>
      </c>
      <c r="E9" s="77" t="n">
        <v>16000</v>
      </c>
      <c r="F9" s="78">
        <f>D9*E9</f>
        <v/>
      </c>
    </row>
    <row r="10">
      <c r="A10" s="84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85" t="n">
        <v>4.865</v>
      </c>
      <c r="E10" s="77" t="n">
        <v>40000</v>
      </c>
      <c r="F10" s="78">
        <f>D10*E10</f>
        <v/>
      </c>
    </row>
    <row r="11">
      <c r="A11" s="84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85" t="n">
        <v>1.838</v>
      </c>
      <c r="E11" s="77" t="n">
        <v>60000</v>
      </c>
      <c r="F11" s="78">
        <f>D11*E11</f>
        <v/>
      </c>
    </row>
    <row r="12">
      <c r="A12" s="84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85" t="n">
        <v>141.2</v>
      </c>
      <c r="E12" s="77" t="n">
        <v>2700</v>
      </c>
      <c r="F12" s="78">
        <f>D12*E12</f>
        <v/>
      </c>
    </row>
    <row r="13">
      <c r="A13" s="86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85" t="n">
        <v>1.15</v>
      </c>
      <c r="E13" s="77" t="n">
        <v>218000</v>
      </c>
      <c r="F13" s="78">
        <f>D13*E13</f>
        <v/>
      </c>
    </row>
    <row r="14">
      <c r="A14" s="86" t="inlineStr">
        <is>
          <t>2026-05-26</t>
        </is>
      </c>
      <c r="B14" s="5" t="n">
        <v>518880</v>
      </c>
      <c r="C14" s="4" t="inlineStr">
        <is>
          <t>华安黄金ETF</t>
        </is>
      </c>
      <c r="D14" s="85" t="n">
        <v>9.455</v>
      </c>
      <c r="E14" s="77" t="n">
        <v>8000</v>
      </c>
      <c r="F14" s="78">
        <f>D14*E14</f>
        <v/>
      </c>
    </row>
    <row r="15">
      <c r="A15" s="84" t="inlineStr">
        <is>
          <t>2026-05-27</t>
        </is>
      </c>
      <c r="B15" s="5" t="n">
        <v>518880</v>
      </c>
      <c r="C15" s="4" t="inlineStr">
        <is>
          <t>华安黄金ETF</t>
        </is>
      </c>
      <c r="D15" s="85" t="n">
        <v>9.385</v>
      </c>
      <c r="E15" s="77" t="n">
        <v>8000</v>
      </c>
      <c r="F15" s="78">
        <f>D15*E15</f>
        <v/>
      </c>
    </row>
    <row r="16">
      <c r="A16" s="84" t="inlineStr">
        <is>
          <t>2026-05-28</t>
        </is>
      </c>
      <c r="B16" s="5" t="n">
        <v>518880</v>
      </c>
      <c r="C16" s="4" t="inlineStr">
        <is>
          <t>华安黄金ETF</t>
        </is>
      </c>
      <c r="D16" s="85" t="n">
        <v>9.15</v>
      </c>
      <c r="E16" s="77" t="n">
        <v>8000</v>
      </c>
      <c r="F16" s="78" t="n">
        <v>73200</v>
      </c>
    </row>
    <row r="17">
      <c r="A17" s="84" t="inlineStr">
        <is>
          <t>2026-05-28</t>
        </is>
      </c>
      <c r="B17" s="5" t="n">
        <v>511990</v>
      </c>
      <c r="C17" s="4" t="inlineStr">
        <is>
          <t>华宝添益ETF</t>
        </is>
      </c>
      <c r="D17" s="85" t="n">
        <v>99.997</v>
      </c>
      <c r="E17" s="77" t="n">
        <v>2500</v>
      </c>
      <c r="F17" s="78" t="n">
        <v>249992.5</v>
      </c>
    </row>
    <row r="18">
      <c r="A18" s="84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85" t="n">
        <v>13.95</v>
      </c>
      <c r="E18" s="77" t="n">
        <v>7200</v>
      </c>
      <c r="F18" s="78">
        <f>D18*E18</f>
        <v/>
      </c>
    </row>
    <row r="19">
      <c r="A19" s="84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85" t="n">
        <v>100.005</v>
      </c>
      <c r="E19" s="77" t="n">
        <v>-2500</v>
      </c>
      <c r="F19" s="78">
        <f>D19*E19</f>
        <v/>
      </c>
    </row>
    <row r="20">
      <c r="A20" s="84" t="inlineStr">
        <is>
          <t>2026-06-05</t>
        </is>
      </c>
      <c r="B20" s="5" t="n">
        <v>510300</v>
      </c>
      <c r="C20" s="4" t="inlineStr">
        <is>
          <t>沪深300ETF</t>
        </is>
      </c>
      <c r="D20" s="85" t="n">
        <v>4.85</v>
      </c>
      <c r="E20" s="77" t="n">
        <v>20000</v>
      </c>
      <c r="F20" s="78">
        <f>D20*E20</f>
        <v/>
      </c>
    </row>
    <row r="21">
      <c r="A21" s="84" t="inlineStr">
        <is>
          <t>2026-06-08</t>
        </is>
      </c>
      <c r="B21" s="5" t="inlineStr">
        <is>
          <t>518880</t>
        </is>
      </c>
      <c r="C21" s="4" t="inlineStr">
        <is>
          <t>华安黄金ETF</t>
        </is>
      </c>
      <c r="D21" s="85" t="n">
        <v>9</v>
      </c>
      <c r="E21" s="77" t="n">
        <v>8000</v>
      </c>
      <c r="F21" s="78">
        <f>D21*E21</f>
        <v/>
      </c>
    </row>
    <row r="22">
      <c r="A22" s="84" t="inlineStr">
        <is>
          <t>2026-06-08</t>
        </is>
      </c>
      <c r="B22" s="5" t="inlineStr">
        <is>
          <t>510300</t>
        </is>
      </c>
      <c r="C22" s="4" t="inlineStr">
        <is>
          <t>沪深300ETF</t>
        </is>
      </c>
      <c r="D22" s="85" t="n">
        <v>4.78</v>
      </c>
      <c r="E22" s="77" t="n">
        <v>23800</v>
      </c>
      <c r="F22" s="78">
        <f>D22*E22</f>
        <v/>
      </c>
    </row>
    <row r="23">
      <c r="A23" s="84" t="inlineStr">
        <is>
          <t>2026-06-10</t>
        </is>
      </c>
      <c r="B23" s="5" t="inlineStr">
        <is>
          <t>511380</t>
        </is>
      </c>
      <c r="C23" s="4" t="inlineStr">
        <is>
          <t>可转债ETF</t>
        </is>
      </c>
      <c r="D23" s="85" t="n">
        <v>13.78</v>
      </c>
      <c r="E23" s="77" t="n">
        <v>7300</v>
      </c>
      <c r="F23" s="78" t="n">
        <v>100594</v>
      </c>
    </row>
    <row r="24">
      <c r="F24" s="57">
        <f>SUM(F2:F25)</f>
        <v/>
      </c>
    </row>
    <row r="25">
      <c r="A25" s="0" t="inlineStr">
        <is>
          <t>2026-06-12</t>
        </is>
      </c>
      <c r="B25" s="0" t="inlineStr">
        <is>
          <t>518880</t>
        </is>
      </c>
      <c r="C25" s="0" t="inlineStr">
        <is>
          <t>华安黄金ETF</t>
        </is>
      </c>
      <c r="D25" s="0" t="n">
        <v>8.65</v>
      </c>
      <c r="E25" s="0" t="n">
        <v>8000</v>
      </c>
      <c r="F25" s="0">
        <f>D25*E25</f>
        <v/>
      </c>
    </row>
  </sheetData>
  <autoFilter ref="A1:F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87"/>
  <sheetViews>
    <sheetView topLeftCell="A103" workbookViewId="0">
      <selection activeCell="I5" sqref="I5"/>
    </sheetView>
  </sheetViews>
  <sheetFormatPr baseColWidth="8" defaultColWidth="9" defaultRowHeight="14.4"/>
  <cols>
    <col width="11.8148148148148" customWidth="1" style="1" min="1" max="1"/>
    <col width="9.546296296296299" customWidth="1" style="1" min="2" max="2"/>
    <col width="10.6388888888889" customWidth="1" style="1" min="3" max="3"/>
    <col width="9.546296296296299" customWidth="1" style="1" min="4" max="4"/>
    <col width="8.546296296296299" customWidth="1" style="1" min="5" max="5"/>
    <col width="9.546296296296299" customWidth="1" style="1" min="6" max="7"/>
    <col width="7.5462962962963" customWidth="1" style="1" min="8" max="8"/>
    <col width="9.546296296296299" customWidth="1" style="1" min="9" max="10"/>
    <col width="8.546296296296299" customWidth="1" style="1" min="11" max="11"/>
    <col width="9.546296296296299" customWidth="1" style="1" min="12" max="13"/>
    <col width="7.5462962962963" customWidth="1" style="1" min="14" max="14"/>
    <col width="9.546296296296299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  <row r="128">
      <c r="A128" s="0" t="inlineStr">
        <is>
          <t>20260604</t>
        </is>
      </c>
      <c r="B128" s="0" t="inlineStr">
        <is>
          <t>沪深300ETF</t>
        </is>
      </c>
      <c r="C128" s="0" t="inlineStr">
        <is>
          <t>510300</t>
        </is>
      </c>
      <c r="H128" s="0" t="n">
        <v>4.926</v>
      </c>
      <c r="I128" s="0" t="n">
        <v>1320</v>
      </c>
      <c r="J128" s="0" t="n">
        <v>0.0024</v>
      </c>
      <c r="N128" s="0" t="inlineStr">
        <is>
          <t>-</t>
        </is>
      </c>
    </row>
    <row r="129">
      <c r="A129" s="0" t="inlineStr">
        <is>
          <t>20260604</t>
        </is>
      </c>
      <c r="B129" s="0" t="inlineStr">
        <is>
          <t>中证500ETF</t>
        </is>
      </c>
      <c r="C129" s="0" t="inlineStr">
        <is>
          <t>510500</t>
        </is>
      </c>
      <c r="H129" s="0" t="n">
        <v>8.448</v>
      </c>
      <c r="I129" s="0" t="n">
        <v>-4960</v>
      </c>
      <c r="J129" s="0" t="n">
        <v>-0.0285</v>
      </c>
      <c r="N129" s="0" t="inlineStr">
        <is>
          <t>权重预警偏离-4.7%</t>
        </is>
      </c>
    </row>
    <row r="130">
      <c r="A130" s="0" t="inlineStr">
        <is>
          <t>20260604</t>
        </is>
      </c>
      <c r="B130" s="0" t="inlineStr">
        <is>
          <t>科创50ETF</t>
        </is>
      </c>
      <c r="C130" s="0" t="inlineStr">
        <is>
          <t>588050</t>
        </is>
      </c>
      <c r="H130" s="0" t="n">
        <v>1.783</v>
      </c>
      <c r="I130" s="0" t="n">
        <v>-3300</v>
      </c>
      <c r="J130" s="0" t="n">
        <v>-0.0299</v>
      </c>
      <c r="N130" s="0" t="inlineStr">
        <is>
          <t>-</t>
        </is>
      </c>
    </row>
    <row r="131">
      <c r="A131" s="0" t="inlineStr">
        <is>
          <t>20260604</t>
        </is>
      </c>
      <c r="B131" s="0" t="inlineStr">
        <is>
          <t>创业板ETF</t>
        </is>
      </c>
      <c r="C131" s="0" t="inlineStr">
        <is>
          <t>159915</t>
        </is>
      </c>
      <c r="H131" s="0" t="n">
        <v>4.1</v>
      </c>
      <c r="I131" s="0" t="n">
        <v>8316</v>
      </c>
      <c r="J131" s="0" t="n">
        <v>0.0333</v>
      </c>
      <c r="N131" s="0" t="inlineStr">
        <is>
          <t>权重预警偏离+3.1%</t>
        </is>
      </c>
    </row>
    <row r="132">
      <c r="A132" s="0" t="inlineStr">
        <is>
          <t>20260604</t>
        </is>
      </c>
      <c r="B132" s="0" t="inlineStr">
        <is>
          <t>红利低波ETF</t>
        </is>
      </c>
      <c r="C132" s="0" t="inlineStr">
        <is>
          <t>512890</t>
        </is>
      </c>
      <c r="H132" s="0" t="n">
        <v>1.158</v>
      </c>
      <c r="I132" s="0" t="n">
        <v>1744</v>
      </c>
      <c r="J132" s="0" t="n">
        <v>0.007</v>
      </c>
      <c r="N132" s="0" t="inlineStr">
        <is>
          <t>-</t>
        </is>
      </c>
    </row>
    <row r="133">
      <c r="A133" s="0" t="inlineStr">
        <is>
          <t>20260604</t>
        </is>
      </c>
      <c r="B133" s="0" t="inlineStr">
        <is>
          <t>可转债ETF</t>
        </is>
      </c>
      <c r="C133" s="0" t="inlineStr">
        <is>
          <t>511380</t>
        </is>
      </c>
      <c r="H133" s="0" t="n">
        <v>13.999</v>
      </c>
      <c r="I133" s="0" t="n">
        <v>0</v>
      </c>
      <c r="J133" s="0" t="n">
        <v>0</v>
      </c>
      <c r="N133" s="0" t="inlineStr">
        <is>
          <t>再平衡紧急:偏离&gt;=+-10%</t>
        </is>
      </c>
    </row>
    <row r="134">
      <c r="A134" s="0" t="inlineStr">
        <is>
          <t>20260604</t>
        </is>
      </c>
      <c r="B134" s="0" t="inlineStr">
        <is>
          <t>10年国债ETF</t>
        </is>
      </c>
      <c r="C134" s="0" t="inlineStr">
        <is>
          <t>511260</t>
        </is>
      </c>
      <c r="H134" s="0" t="n">
        <v>136.133</v>
      </c>
      <c r="I134" s="0" t="n">
        <v>1805.6</v>
      </c>
      <c r="J134" s="0" t="n">
        <v>0.0036</v>
      </c>
      <c r="N134" s="0" t="inlineStr">
        <is>
          <t>权重预警偏离+5.8%</t>
        </is>
      </c>
    </row>
    <row r="135">
      <c r="A135" s="0" t="inlineStr">
        <is>
          <t>20260604</t>
        </is>
      </c>
      <c r="B135" s="0" t="inlineStr">
        <is>
          <t>5年国债ETF</t>
        </is>
      </c>
      <c r="C135" s="0" t="inlineStr">
        <is>
          <t>511010</t>
        </is>
      </c>
      <c r="H135" s="0" t="n">
        <v>141.504</v>
      </c>
      <c r="I135" s="0" t="n">
        <v>1021.65</v>
      </c>
      <c r="J135" s="0" t="n">
        <v>0.0021</v>
      </c>
      <c r="N135" s="0" t="inlineStr">
        <is>
          <t>权重预警偏离+5.5%</t>
        </is>
      </c>
    </row>
    <row r="136">
      <c r="A136" s="0" t="inlineStr">
        <is>
          <t>20260604</t>
        </is>
      </c>
      <c r="B136" s="0" t="inlineStr">
        <is>
          <t>短融ETF</t>
        </is>
      </c>
      <c r="C136" s="0" t="inlineStr">
        <is>
          <t>511360</t>
        </is>
      </c>
      <c r="H136" s="0" t="n">
        <v>113.535</v>
      </c>
      <c r="I136" s="0" t="n">
        <v>160.6</v>
      </c>
      <c r="J136" s="0" t="n">
        <v>0.0005999999999999999</v>
      </c>
      <c r="N136" s="0" t="inlineStr">
        <is>
          <t>-</t>
        </is>
      </c>
    </row>
    <row r="137">
      <c r="A137" s="0" t="inlineStr">
        <is>
          <t>20260604</t>
        </is>
      </c>
      <c r="B137" s="0" t="inlineStr">
        <is>
          <t>黄金ETF</t>
        </is>
      </c>
      <c r="C137" s="0" t="inlineStr">
        <is>
          <t>518880</t>
        </is>
      </c>
      <c r="H137" s="0" t="n">
        <v>9.289999999999999</v>
      </c>
      <c r="I137" s="0" t="n">
        <v>-4242.68</v>
      </c>
      <c r="J137" s="0" t="n">
        <v>-0.0113</v>
      </c>
      <c r="N137" s="0" t="inlineStr">
        <is>
          <t>权重预警偏离-3.4%</t>
        </is>
      </c>
    </row>
    <row r="138">
      <c r="A138" s="0" t="inlineStr">
        <is>
          <t>20260604</t>
        </is>
      </c>
      <c r="B138" s="0" t="inlineStr">
        <is>
          <t>银华日利ETF</t>
        </is>
      </c>
      <c r="C138" s="0" t="inlineStr">
        <is>
          <t>511880</t>
        </is>
      </c>
      <c r="H138" s="0" t="n">
        <v>100.512</v>
      </c>
      <c r="I138" s="0" t="n">
        <v>0</v>
      </c>
      <c r="J138" s="0" t="n">
        <v>0</v>
      </c>
      <c r="N138" s="0" t="inlineStr">
        <is>
          <t>权重预警偏离-5.0%</t>
        </is>
      </c>
    </row>
    <row r="139">
      <c r="A139" s="0" t="inlineStr">
        <is>
          <t>20260604</t>
        </is>
      </c>
      <c r="B139" s="0" t="inlineStr">
        <is>
          <t>华宝添益ETF</t>
        </is>
      </c>
      <c r="C139" s="0" t="inlineStr">
        <is>
          <t>511990</t>
        </is>
      </c>
      <c r="H139" s="0" t="n">
        <v>100.001</v>
      </c>
      <c r="I139" s="0" t="n">
        <v>10</v>
      </c>
      <c r="J139" s="0" t="n">
        <v>0</v>
      </c>
      <c r="N139" s="0" t="inlineStr">
        <is>
          <t>-</t>
        </is>
      </c>
    </row>
    <row r="140">
      <c r="A140" s="0" t="inlineStr">
        <is>
          <t>20260609</t>
        </is>
      </c>
      <c r="B140" s="0" t="inlineStr">
        <is>
          <t>沪深300ETF</t>
        </is>
      </c>
      <c r="C140" s="0" t="inlineStr">
        <is>
          <t>510300</t>
        </is>
      </c>
      <c r="H140" s="0" t="n">
        <v>4.826</v>
      </c>
      <c r="I140" s="0" t="n">
        <v>-9074.200000000001</v>
      </c>
      <c r="J140" s="0" t="n">
        <v>-0.0121</v>
      </c>
      <c r="N140" s="0" t="inlineStr">
        <is>
          <t>🟠再平衡触发线：偏离+7.6% &gt;= ±7%，强制调仓</t>
        </is>
      </c>
    </row>
    <row r="141">
      <c r="A141" s="0" t="inlineStr">
        <is>
          <t>20260609</t>
        </is>
      </c>
      <c r="B141" s="0" t="inlineStr">
        <is>
          <t>中证500ETF</t>
        </is>
      </c>
      <c r="C141" s="0" t="inlineStr">
        <is>
          <t>510500</t>
        </is>
      </c>
      <c r="H141" s="0" t="n">
        <v>8.27</v>
      </c>
      <c r="I141" s="0" t="n">
        <v>-8520</v>
      </c>
      <c r="J141" s="0" t="n">
        <v>-0.049</v>
      </c>
      <c r="N141" s="0" t="inlineStr">
        <is>
          <t>📊权重预警偏离-5.0%</t>
        </is>
      </c>
    </row>
    <row r="142">
      <c r="A142" s="0" t="inlineStr">
        <is>
          <t>20260609</t>
        </is>
      </c>
      <c r="B142" s="0" t="inlineStr">
        <is>
          <t>科创50ETF</t>
        </is>
      </c>
      <c r="C142" s="0" t="inlineStr">
        <is>
          <t>588050</t>
        </is>
      </c>
      <c r="H142" s="0" t="n">
        <v>1.706</v>
      </c>
      <c r="I142" s="0" t="n">
        <v>-7920</v>
      </c>
      <c r="J142" s="0" t="n">
        <v>-0.0718</v>
      </c>
      <c r="N142" s="0" t="inlineStr">
        <is>
          <t>⚡预警：浮亏-7.2% &gt;= -5%，暂停新增买入</t>
        </is>
      </c>
    </row>
    <row r="143">
      <c r="A143" s="0" t="inlineStr">
        <is>
          <t>20260609</t>
        </is>
      </c>
      <c r="B143" s="0" t="inlineStr">
        <is>
          <t>创业板ETF</t>
        </is>
      </c>
      <c r="C143" s="0" t="inlineStr">
        <is>
          <t>159915</t>
        </is>
      </c>
      <c r="H143" s="0" t="n">
        <v>3.972</v>
      </c>
      <c r="I143" s="0" t="n">
        <v>252</v>
      </c>
      <c r="J143" s="0" t="n">
        <v>0.001</v>
      </c>
      <c r="N143" s="0" t="inlineStr">
        <is>
          <t>—</t>
        </is>
      </c>
    </row>
    <row r="144">
      <c r="A144" s="0" t="inlineStr">
        <is>
          <t>20260609</t>
        </is>
      </c>
      <c r="B144" s="0" t="inlineStr">
        <is>
          <t>红利低波ETF</t>
        </is>
      </c>
      <c r="C144" s="0" t="inlineStr">
        <is>
          <t>512890</t>
        </is>
      </c>
      <c r="H144" s="0" t="n">
        <v>1.164</v>
      </c>
      <c r="I144" s="0" t="n">
        <v>3052</v>
      </c>
      <c r="J144" s="0" t="n">
        <v>0.0122</v>
      </c>
      <c r="N144" s="0" t="inlineStr">
        <is>
          <t>—</t>
        </is>
      </c>
    </row>
    <row r="145">
      <c r="A145" s="0" t="inlineStr">
        <is>
          <t>20260609</t>
        </is>
      </c>
      <c r="B145" s="0" t="inlineStr">
        <is>
          <t>可转债ETF</t>
        </is>
      </c>
      <c r="C145" s="0" t="inlineStr">
        <is>
          <t>511380</t>
        </is>
      </c>
      <c r="H145" s="0" t="n">
        <v>13.927</v>
      </c>
      <c r="I145" s="0" t="n">
        <v>-165.6</v>
      </c>
      <c r="J145" s="0" t="n">
        <v>-0.0016</v>
      </c>
      <c r="N145" s="0" t="inlineStr">
        <is>
          <t>📊权重预警偏离-7.0%</t>
        </is>
      </c>
    </row>
    <row r="146">
      <c r="A146" s="0" t="inlineStr">
        <is>
          <t>20260609</t>
        </is>
      </c>
      <c r="B146" s="0" t="inlineStr">
        <is>
          <t>10年国债ETF</t>
        </is>
      </c>
      <c r="C146" s="0" t="inlineStr">
        <is>
          <t>511260</t>
        </is>
      </c>
      <c r="H146" s="0" t="n">
        <v>135.75</v>
      </c>
      <c r="I146" s="0" t="n">
        <v>388.5</v>
      </c>
      <c r="J146" s="0" t="n">
        <v>0.0008</v>
      </c>
      <c r="N146" s="0" t="inlineStr">
        <is>
          <t>📊权重预警偏离+5.3%</t>
        </is>
      </c>
    </row>
    <row r="147">
      <c r="A147" s="0" t="inlineStr">
        <is>
          <t>20260609</t>
        </is>
      </c>
      <c r="B147" s="0" t="inlineStr">
        <is>
          <t>5年国债ETF</t>
        </is>
      </c>
      <c r="C147" s="0" t="inlineStr">
        <is>
          <t>511010</t>
        </is>
      </c>
      <c r="H147" s="0" t="n">
        <v>141.345</v>
      </c>
      <c r="I147" s="0" t="n">
        <v>465.15</v>
      </c>
      <c r="J147" s="0" t="n">
        <v>0.0009</v>
      </c>
      <c r="N147" s="0" t="inlineStr">
        <is>
          <t>📊权重预警偏离+5.0%</t>
        </is>
      </c>
    </row>
    <row r="148">
      <c r="A148" s="0" t="inlineStr">
        <is>
          <t>20260609</t>
        </is>
      </c>
      <c r="B148" s="0" t="inlineStr">
        <is>
          <t>短融ETF</t>
        </is>
      </c>
      <c r="C148" s="0" t="inlineStr">
        <is>
          <t>511360</t>
        </is>
      </c>
      <c r="H148" s="0" t="n">
        <v>113.559</v>
      </c>
      <c r="I148" s="0" t="n">
        <v>213.4</v>
      </c>
      <c r="J148" s="0" t="n">
        <v>0.0009</v>
      </c>
      <c r="N148" s="0" t="inlineStr">
        <is>
          <t>—</t>
        </is>
      </c>
    </row>
    <row r="149">
      <c r="A149" s="0" t="inlineStr">
        <is>
          <t>20260609</t>
        </is>
      </c>
      <c r="B149" s="0" t="inlineStr">
        <is>
          <t>黄金ETF</t>
        </is>
      </c>
      <c r="C149" s="0" t="inlineStr">
        <is>
          <t>518880</t>
        </is>
      </c>
      <c r="H149" s="0" t="n">
        <v>9.005000000000001</v>
      </c>
      <c r="I149" s="0" t="n">
        <v>-15544.56</v>
      </c>
      <c r="J149" s="0" t="n">
        <v>-0.0349</v>
      </c>
      <c r="N149" s="0" t="inlineStr">
        <is>
          <t>—</t>
        </is>
      </c>
    </row>
    <row r="150">
      <c r="A150" s="0" t="inlineStr">
        <is>
          <t>20260609</t>
        </is>
      </c>
      <c r="B150" s="0" t="inlineStr">
        <is>
          <t>银华日利ETF</t>
        </is>
      </c>
      <c r="C150" s="0" t="inlineStr">
        <is>
          <t>511880</t>
        </is>
      </c>
      <c r="H150" s="0" t="n">
        <v>100.514</v>
      </c>
      <c r="I150" s="0" t="n">
        <v>0</v>
      </c>
      <c r="J150" s="0" t="n">
        <v>0</v>
      </c>
      <c r="N150" s="0" t="inlineStr">
        <is>
          <t>📊权重预警偏离-5.0%</t>
        </is>
      </c>
    </row>
    <row r="151">
      <c r="A151" s="0" t="inlineStr">
        <is>
          <t>20260609</t>
        </is>
      </c>
      <c r="B151" s="0" t="inlineStr">
        <is>
          <t>华宝添益ETF</t>
        </is>
      </c>
      <c r="C151" s="0" t="inlineStr">
        <is>
          <t>511990</t>
        </is>
      </c>
      <c r="H151" s="0" t="n">
        <v>100.003</v>
      </c>
      <c r="I151" s="0" t="n">
        <v>0</v>
      </c>
      <c r="J151" s="0" t="n">
        <v>0</v>
      </c>
      <c r="N151" s="0" t="inlineStr">
        <is>
          <t>📊权重预警偏离-5.0%</t>
        </is>
      </c>
    </row>
    <row r="152">
      <c r="A152" s="0" t="inlineStr">
        <is>
          <t>20260610</t>
        </is>
      </c>
      <c r="B152" s="0" t="inlineStr">
        <is>
          <t>华泰柏瑞沪深300ETF</t>
        </is>
      </c>
      <c r="C152" s="0" t="inlineStr">
        <is>
          <t>510300</t>
        </is>
      </c>
      <c r="D152" s="0" t="n">
        <v>153800</v>
      </c>
      <c r="E152" s="0" t="n">
        <v>4.885</v>
      </c>
      <c r="F152" s="0" t="n">
        <v>751313</v>
      </c>
      <c r="G152" s="0" t="n">
        <v>4.784</v>
      </c>
      <c r="H152" s="0" t="inlineStr">
        <is>
          <t>-0.87%</t>
        </is>
      </c>
      <c r="I152" s="0" t="n">
        <v>735779.2</v>
      </c>
      <c r="J152" s="0" t="n">
        <v>-15533.8</v>
      </c>
      <c r="K152" s="0" t="n">
        <v>-0.0207</v>
      </c>
      <c r="L152" s="0" t="n">
        <v>0.15</v>
      </c>
      <c r="M152" s="0" t="n">
        <v>0.2124</v>
      </c>
      <c r="N152" s="0" t="n">
        <v>0.0624</v>
      </c>
      <c r="O152" s="0" t="inlineStr">
        <is>
          <t>📊权重预警偏离+6.2%</t>
        </is>
      </c>
    </row>
    <row r="153">
      <c r="A153" s="0" t="inlineStr">
        <is>
          <t>20260610</t>
        </is>
      </c>
      <c r="B153" s="0" t="inlineStr">
        <is>
          <t>南方中证500ETF</t>
        </is>
      </c>
      <c r="C153" s="0" t="inlineStr">
        <is>
          <t>510500</t>
        </is>
      </c>
      <c r="D153" s="0" t="n">
        <v>20000</v>
      </c>
      <c r="E153" s="0" t="n">
        <v>8.696</v>
      </c>
      <c r="F153" s="0" t="n">
        <v>173920</v>
      </c>
      <c r="G153" s="0" t="n">
        <v>8.170999999999999</v>
      </c>
      <c r="H153" s="0" t="inlineStr">
        <is>
          <t>-1.20%</t>
        </is>
      </c>
      <c r="I153" s="0" t="n">
        <v>163420</v>
      </c>
      <c r="J153" s="0" t="n">
        <v>-10500</v>
      </c>
      <c r="K153" s="0" t="n">
        <v>-0.0604</v>
      </c>
      <c r="L153" s="0" t="n">
        <v>0.1</v>
      </c>
      <c r="M153" s="0" t="n">
        <v>0.0472</v>
      </c>
      <c r="N153" s="0" t="n">
        <v>-0.0528</v>
      </c>
      <c r="O153" s="0" t="inlineStr">
        <is>
          <t>📊权重预警偏离-5.3%</t>
        </is>
      </c>
    </row>
    <row r="154">
      <c r="A154" s="0" t="inlineStr">
        <is>
          <t>20260610</t>
        </is>
      </c>
      <c r="B154" s="0" t="inlineStr">
        <is>
          <t>科创50ETF</t>
        </is>
      </c>
      <c r="C154" s="0" t="inlineStr">
        <is>
          <t>588050</t>
        </is>
      </c>
      <c r="D154" s="0" t="n">
        <v>60000</v>
      </c>
      <c r="E154" s="0" t="n">
        <v>1.838</v>
      </c>
      <c r="F154" s="0" t="n">
        <v>110280</v>
      </c>
      <c r="G154" s="0" t="n">
        <v>1.699</v>
      </c>
      <c r="H154" s="0" t="inlineStr">
        <is>
          <t>-0.41%</t>
        </is>
      </c>
      <c r="I154" s="0" t="n">
        <v>101940</v>
      </c>
      <c r="J154" s="0" t="n">
        <v>-8340</v>
      </c>
      <c r="K154" s="0" t="n">
        <v>-0.0756</v>
      </c>
      <c r="L154" s="0" t="n">
        <v>0.05</v>
      </c>
      <c r="M154" s="0" t="n">
        <v>0.0294</v>
      </c>
      <c r="N154" s="0" t="n">
        <v>-0.0206</v>
      </c>
      <c r="O154" s="0" t="inlineStr">
        <is>
          <t>⚡预警：浮亏-7.6% &gt;= -5%，暂停新增买入</t>
        </is>
      </c>
    </row>
    <row r="155">
      <c r="A155" s="0" t="inlineStr">
        <is>
          <t>20260610</t>
        </is>
      </c>
      <c r="B155" s="0" t="inlineStr">
        <is>
          <t>易方达创业板ETF</t>
        </is>
      </c>
      <c r="C155" s="0" t="inlineStr">
        <is>
          <t>159915</t>
        </is>
      </c>
      <c r="D155" s="0" t="n">
        <v>63000</v>
      </c>
      <c r="E155" s="0" t="n">
        <v>3.968</v>
      </c>
      <c r="F155" s="0" t="n">
        <v>249984</v>
      </c>
      <c r="G155" s="0" t="n">
        <v>3.87</v>
      </c>
      <c r="H155" s="0" t="inlineStr">
        <is>
          <t>-2.57%</t>
        </is>
      </c>
      <c r="I155" s="0" t="n">
        <v>243810</v>
      </c>
      <c r="J155" s="0" t="n">
        <v>-6174</v>
      </c>
      <c r="K155" s="0" t="n">
        <v>-0.0247</v>
      </c>
      <c r="L155" s="0" t="n">
        <v>0.05</v>
      </c>
      <c r="M155" s="0" t="n">
        <v>0.0704</v>
      </c>
      <c r="N155" s="0" t="n">
        <v>0.0204</v>
      </c>
      <c r="O155" s="0" t="inlineStr">
        <is>
          <t>—</t>
        </is>
      </c>
    </row>
    <row r="156">
      <c r="A156" s="0" t="inlineStr">
        <is>
          <t>20260610</t>
        </is>
      </c>
      <c r="B156" s="0" t="inlineStr">
        <is>
          <t>华泰柏瑞红利低波ETF</t>
        </is>
      </c>
      <c r="C156" s="0" t="inlineStr">
        <is>
          <t>512890</t>
        </is>
      </c>
      <c r="D156" s="0" t="n">
        <v>218000</v>
      </c>
      <c r="E156" s="0" t="n">
        <v>1.15</v>
      </c>
      <c r="F156" s="0" t="n">
        <v>250700</v>
      </c>
      <c r="G156" s="0" t="n">
        <v>1.172</v>
      </c>
      <c r="H156" s="0" t="inlineStr">
        <is>
          <t>+0.69%</t>
        </is>
      </c>
      <c r="I156" s="0" t="n">
        <v>255496</v>
      </c>
      <c r="J156" s="0" t="n">
        <v>4796</v>
      </c>
      <c r="K156" s="0" t="n">
        <v>0.0191</v>
      </c>
      <c r="L156" s="0" t="n">
        <v>0.05</v>
      </c>
      <c r="M156" s="0" t="n">
        <v>0.0737</v>
      </c>
      <c r="N156" s="0" t="n">
        <v>0.0237</v>
      </c>
      <c r="O156" s="0" t="inlineStr">
        <is>
          <t>—</t>
        </is>
      </c>
    </row>
    <row r="157">
      <c r="A157" s="0" t="inlineStr">
        <is>
          <t>20260610</t>
        </is>
      </c>
      <c r="B157" s="0" t="inlineStr">
        <is>
          <t>可转债ETF</t>
        </is>
      </c>
      <c r="C157" s="0" t="inlineStr">
        <is>
          <t>511380</t>
        </is>
      </c>
      <c r="D157" s="0" t="n">
        <v>14500</v>
      </c>
      <c r="E157" s="0" t="n">
        <v>13.8644</v>
      </c>
      <c r="F157" s="0" t="n">
        <v>201034</v>
      </c>
      <c r="G157" s="0" t="n">
        <v>13.77</v>
      </c>
      <c r="H157" s="0" t="inlineStr">
        <is>
          <t>-1.13%</t>
        </is>
      </c>
      <c r="I157" s="0" t="n">
        <v>199665</v>
      </c>
      <c r="J157" s="0" t="n">
        <v>-1368.8</v>
      </c>
      <c r="K157" s="0" t="n">
        <v>-0.0068</v>
      </c>
      <c r="L157" s="0" t="n">
        <v>0.1</v>
      </c>
      <c r="M157" s="0" t="n">
        <v>0.0594</v>
      </c>
      <c r="N157" s="0" t="n">
        <v>-0.0406</v>
      </c>
      <c r="O157" s="0" t="inlineStr">
        <is>
          <t>📊权重预警偏离-4.1%</t>
        </is>
      </c>
    </row>
    <row r="158">
      <c r="A158" s="0" t="inlineStr">
        <is>
          <t>20260610</t>
        </is>
      </c>
      <c r="B158" s="0" t="inlineStr">
        <is>
          <t>国泰上证10年期国债ETF</t>
        </is>
      </c>
      <c r="C158" s="0" t="inlineStr">
        <is>
          <t>511260</t>
        </is>
      </c>
      <c r="D158" s="0" t="n">
        <v>3700</v>
      </c>
      <c r="E158" s="0" t="n">
        <v>135.645</v>
      </c>
      <c r="F158" s="0" t="n">
        <v>501886.5</v>
      </c>
      <c r="G158" s="0" t="n">
        <v>135.653</v>
      </c>
      <c r="H158" s="0" t="inlineStr">
        <is>
          <t>-0.07%</t>
        </is>
      </c>
      <c r="I158" s="0" t="n">
        <v>501916.1</v>
      </c>
      <c r="J158" s="0" t="n">
        <v>29.6</v>
      </c>
      <c r="K158" s="0" t="n">
        <v>0.0001</v>
      </c>
      <c r="L158" s="0" t="n">
        <v>0.1</v>
      </c>
      <c r="M158" s="0" t="n">
        <v>0.1449</v>
      </c>
      <c r="N158" s="0" t="n">
        <v>0.0449</v>
      </c>
      <c r="O158" s="0" t="inlineStr">
        <is>
          <t>📊权重预警偏离+4.5%</t>
        </is>
      </c>
    </row>
    <row r="159">
      <c r="A159" s="0" t="inlineStr">
        <is>
          <t>20260610</t>
        </is>
      </c>
      <c r="B159" s="0" t="inlineStr">
        <is>
          <t>国泰上证5年期国债ETF</t>
        </is>
      </c>
      <c r="C159" s="0" t="inlineStr">
        <is>
          <t>511010</t>
        </is>
      </c>
      <c r="D159" s="0" t="n">
        <v>3500</v>
      </c>
      <c r="E159" s="0" t="n">
        <v>141.2121</v>
      </c>
      <c r="F159" s="0" t="n">
        <v>494242.35</v>
      </c>
      <c r="G159" s="0" t="n">
        <v>141.278</v>
      </c>
      <c r="H159" s="0" t="inlineStr">
        <is>
          <t>-0.05%</t>
        </is>
      </c>
      <c r="I159" s="0" t="n">
        <v>494473</v>
      </c>
      <c r="J159" s="0" t="n">
        <v>230.65</v>
      </c>
      <c r="K159" s="0" t="n">
        <v>0.0005</v>
      </c>
      <c r="L159" s="0" t="n">
        <v>0.1</v>
      </c>
      <c r="M159" s="0" t="n">
        <v>0.1427</v>
      </c>
      <c r="N159" s="0" t="n">
        <v>0.0427</v>
      </c>
      <c r="O159" s="0" t="inlineStr">
        <is>
          <t>📊权重预警偏离+4.3%</t>
        </is>
      </c>
    </row>
    <row r="160">
      <c r="A160" s="0" t="inlineStr">
        <is>
          <t>20260610</t>
        </is>
      </c>
      <c r="B160" s="0" t="inlineStr">
        <is>
          <t>海富通中证短融ETF</t>
        </is>
      </c>
      <c r="C160" s="0" t="inlineStr">
        <is>
          <t>511360</t>
        </is>
      </c>
      <c r="D160" s="0" t="n">
        <v>2200</v>
      </c>
      <c r="E160" s="0" t="n">
        <v>113.462</v>
      </c>
      <c r="F160" s="0" t="n">
        <v>249616.4</v>
      </c>
      <c r="G160" s="0" t="n">
        <v>113.56</v>
      </c>
      <c r="H160" s="0" t="inlineStr">
        <is>
          <t>+0.00%</t>
        </is>
      </c>
      <c r="I160" s="0" t="n">
        <v>249832</v>
      </c>
      <c r="J160" s="0" t="n">
        <v>215.6</v>
      </c>
      <c r="K160" s="0" t="n">
        <v>0.0009</v>
      </c>
      <c r="L160" s="0" t="n">
        <v>0.05</v>
      </c>
      <c r="M160" s="0" t="n">
        <v>0.0721</v>
      </c>
      <c r="N160" s="0" t="n">
        <v>0.0221</v>
      </c>
      <c r="O160" s="0" t="inlineStr">
        <is>
          <t>—</t>
        </is>
      </c>
    </row>
    <row r="161">
      <c r="A161" s="0" t="inlineStr">
        <is>
          <t>20260610</t>
        </is>
      </c>
      <c r="B161" s="0" t="inlineStr">
        <is>
          <t>华安黄金ETF</t>
        </is>
      </c>
      <c r="C161" s="0" t="inlineStr">
        <is>
          <t>518880</t>
        </is>
      </c>
      <c r="D161" s="0" t="n">
        <v>47800</v>
      </c>
      <c r="E161" s="0" t="n">
        <v>9.3302</v>
      </c>
      <c r="F161" s="0" t="n">
        <v>445983.56</v>
      </c>
      <c r="G161" s="0" t="n">
        <v>8.736000000000001</v>
      </c>
      <c r="H161" s="0" t="inlineStr">
        <is>
          <t>-2.99%</t>
        </is>
      </c>
      <c r="I161" s="0" t="n">
        <v>417580.8</v>
      </c>
      <c r="J161" s="0" t="n">
        <v>-28402.76</v>
      </c>
      <c r="K161" s="0" t="n">
        <v>-0.06370000000000001</v>
      </c>
      <c r="L161" s="0" t="n">
        <v>0.15</v>
      </c>
      <c r="M161" s="0" t="n">
        <v>0.1205</v>
      </c>
      <c r="N161" s="0" t="n">
        <v>-0.0295</v>
      </c>
      <c r="O161" s="0" t="inlineStr">
        <is>
          <t>—</t>
        </is>
      </c>
    </row>
    <row r="162">
      <c r="A162" s="0" t="inlineStr">
        <is>
          <t>20260610</t>
        </is>
      </c>
      <c r="B162" s="0" t="inlineStr">
        <is>
          <t>银华日利ETF</t>
        </is>
      </c>
      <c r="C162" s="0" t="inlineStr">
        <is>
          <t>511880</t>
        </is>
      </c>
      <c r="D162" s="0" t="n">
        <v>0</v>
      </c>
      <c r="E162" s="0" t="n">
        <v>0</v>
      </c>
      <c r="F162" s="0" t="n">
        <v>0</v>
      </c>
      <c r="G162" s="0" t="n">
        <v>100.517</v>
      </c>
      <c r="H162" s="0" t="inlineStr">
        <is>
          <t>+0.00%</t>
        </is>
      </c>
      <c r="I162" s="0" t="n">
        <v>0</v>
      </c>
      <c r="J162" s="0" t="n">
        <v>0</v>
      </c>
      <c r="K162" s="0" t="n">
        <v>0</v>
      </c>
      <c r="L162" s="0" t="n">
        <v>0.05</v>
      </c>
      <c r="M162" s="0" t="n">
        <v>0</v>
      </c>
      <c r="N162" s="0" t="n">
        <v>-0.05</v>
      </c>
      <c r="O162" s="0" t="inlineStr">
        <is>
          <t>📊权重预警偏离-5.0%</t>
        </is>
      </c>
    </row>
    <row r="163">
      <c r="A163" s="0" t="inlineStr">
        <is>
          <t>20260610</t>
        </is>
      </c>
      <c r="B163" s="0" t="inlineStr">
        <is>
          <t>华宝添益ETF</t>
        </is>
      </c>
      <c r="C163" s="0" t="inlineStr">
        <is>
          <t>511990</t>
        </is>
      </c>
      <c r="D163" s="0" t="n">
        <v>0</v>
      </c>
      <c r="E163" s="0" t="n">
        <v>0</v>
      </c>
      <c r="F163" s="0" t="n">
        <v>0</v>
      </c>
      <c r="G163" s="0" t="n">
        <v>100.002</v>
      </c>
      <c r="H163" s="0" t="inlineStr">
        <is>
          <t>+0.00%</t>
        </is>
      </c>
      <c r="I163" s="0" t="n">
        <v>0</v>
      </c>
      <c r="J163" s="0" t="n">
        <v>0</v>
      </c>
      <c r="K163" s="0" t="n">
        <v>0</v>
      </c>
      <c r="L163" s="0" t="n">
        <v>0.05</v>
      </c>
      <c r="M163" s="0" t="n">
        <v>0</v>
      </c>
      <c r="N163" s="0" t="n">
        <v>-0.05</v>
      </c>
      <c r="O163" s="0" t="inlineStr">
        <is>
          <t>📊权重预警偏离-5.0%</t>
        </is>
      </c>
    </row>
    <row r="164">
      <c r="A164" s="0" t="inlineStr">
        <is>
          <t>20260611</t>
        </is>
      </c>
      <c r="B164" s="0" t="inlineStr">
        <is>
          <t>沪深300ETF</t>
        </is>
      </c>
      <c r="C164" s="0" t="inlineStr">
        <is>
          <t>510300</t>
        </is>
      </c>
      <c r="D164" s="0" t="n">
        <v>153800</v>
      </c>
      <c r="E164" s="0" t="n">
        <v>4.885</v>
      </c>
      <c r="F164" s="0" t="n">
        <v>751313</v>
      </c>
      <c r="G164" s="0" t="n">
        <v>4.751</v>
      </c>
      <c r="H164" s="0" t="inlineStr">
        <is>
          <t>-0.69%</t>
        </is>
      </c>
      <c r="I164" s="0" t="n">
        <v>730703.8</v>
      </c>
      <c r="J164" s="0" t="n">
        <v>-20609.2</v>
      </c>
      <c r="K164" s="0" t="n">
        <v>-0.0274</v>
      </c>
      <c r="L164" s="0" t="n">
        <v>0.15</v>
      </c>
      <c r="M164" s="0" t="n">
        <v>0.2186</v>
      </c>
      <c r="N164" s="0" t="n">
        <v>0.06859999999999999</v>
      </c>
      <c r="O164" s="0" t="inlineStr">
        <is>
          <t>📊权重预警偏离+6.9%</t>
        </is>
      </c>
    </row>
    <row r="165">
      <c r="A165" s="0" t="inlineStr">
        <is>
          <t>20260611</t>
        </is>
      </c>
      <c r="B165" s="0" t="inlineStr">
        <is>
          <t>中证500ETF</t>
        </is>
      </c>
      <c r="C165" s="0" t="inlineStr">
        <is>
          <t>510500</t>
        </is>
      </c>
      <c r="D165" s="0" t="n">
        <v>20000</v>
      </c>
      <c r="E165" s="0" t="n">
        <v>8.696</v>
      </c>
      <c r="F165" s="0" t="n">
        <v>173920</v>
      </c>
      <c r="G165" s="0" t="n">
        <v>8.132999999999999</v>
      </c>
      <c r="H165" s="0" t="inlineStr">
        <is>
          <t>-0.47%</t>
        </is>
      </c>
      <c r="I165" s="0" t="n">
        <v>162660</v>
      </c>
      <c r="J165" s="0" t="n">
        <v>-11260</v>
      </c>
      <c r="K165" s="0" t="n">
        <v>-0.06469999999999999</v>
      </c>
      <c r="L165" s="0" t="n">
        <v>0.1</v>
      </c>
      <c r="M165" s="0" t="n">
        <v>0.0487</v>
      </c>
      <c r="N165" s="0" t="n">
        <v>-0.0513</v>
      </c>
      <c r="O165" s="0" t="inlineStr">
        <is>
          <t>📊权重预警偏离-5.1%</t>
        </is>
      </c>
    </row>
    <row r="166">
      <c r="A166" s="0" t="inlineStr">
        <is>
          <t>20260611</t>
        </is>
      </c>
      <c r="B166" s="0" t="inlineStr">
        <is>
          <t>科创50ETF</t>
        </is>
      </c>
      <c r="C166" s="0" t="inlineStr">
        <is>
          <t>588050</t>
        </is>
      </c>
      <c r="D166" s="0" t="n">
        <v>60000</v>
      </c>
      <c r="E166" s="0" t="n">
        <v>1.838</v>
      </c>
      <c r="F166" s="0" t="n">
        <v>110280</v>
      </c>
      <c r="G166" s="0" t="n">
        <v>1.71</v>
      </c>
      <c r="H166" s="0" t="inlineStr">
        <is>
          <t>+0.65%</t>
        </is>
      </c>
      <c r="I166" s="0" t="n">
        <v>102600</v>
      </c>
      <c r="J166" s="0" t="n">
        <v>-7680</v>
      </c>
      <c r="K166" s="0" t="n">
        <v>-0.0696</v>
      </c>
      <c r="L166" s="0" t="n">
        <v>0.05</v>
      </c>
      <c r="M166" s="0" t="n">
        <v>0.0307</v>
      </c>
      <c r="N166" s="0" t="n">
        <v>-0.0193</v>
      </c>
      <c r="O166" s="0" t="inlineStr">
        <is>
          <t>⚡预警：浮亏-7.0% &gt;= -5%，暂停新增买入</t>
        </is>
      </c>
    </row>
    <row r="167">
      <c r="A167" s="0" t="inlineStr">
        <is>
          <t>20260611</t>
        </is>
      </c>
      <c r="B167" s="0" t="inlineStr">
        <is>
          <t>创业板ETF</t>
        </is>
      </c>
      <c r="C167" s="0" t="inlineStr">
        <is>
          <t>159915</t>
        </is>
      </c>
      <c r="D167" s="0" t="n">
        <v>63000</v>
      </c>
      <c r="E167" s="0" t="n">
        <v>3.968</v>
      </c>
      <c r="F167" s="0" t="n">
        <v>249984</v>
      </c>
      <c r="G167" s="0" t="n">
        <v>3.83</v>
      </c>
      <c r="H167" s="0" t="inlineStr">
        <is>
          <t>-1.03%</t>
        </is>
      </c>
      <c r="I167" s="0" t="n">
        <v>241290</v>
      </c>
      <c r="J167" s="0" t="n">
        <v>-8694</v>
      </c>
      <c r="K167" s="0" t="n">
        <v>-0.0348</v>
      </c>
      <c r="L167" s="0" t="n">
        <v>0.05</v>
      </c>
      <c r="M167" s="0" t="n">
        <v>0.0722</v>
      </c>
      <c r="N167" s="0" t="n">
        <v>0.0222</v>
      </c>
      <c r="O167" s="0" t="inlineStr">
        <is>
          <t>—</t>
        </is>
      </c>
    </row>
    <row r="168">
      <c r="A168" s="0" t="inlineStr">
        <is>
          <t>20260611</t>
        </is>
      </c>
      <c r="B168" s="0" t="inlineStr">
        <is>
          <t>红利低波ETF</t>
        </is>
      </c>
      <c r="C168" s="0" t="inlineStr">
        <is>
          <t>512890</t>
        </is>
      </c>
      <c r="D168" s="0" t="n">
        <v>218000</v>
      </c>
      <c r="E168" s="0" t="n">
        <v>1.15</v>
      </c>
      <c r="F168" s="0" t="n">
        <v>250700</v>
      </c>
      <c r="G168" s="0" t="n">
        <v>1.162</v>
      </c>
      <c r="H168" s="0" t="inlineStr">
        <is>
          <t>-0.85%</t>
        </is>
      </c>
      <c r="I168" s="0" t="n">
        <v>253316</v>
      </c>
      <c r="J168" s="0" t="n">
        <v>2616</v>
      </c>
      <c r="K168" s="0" t="n">
        <v>0.0104</v>
      </c>
      <c r="L168" s="0" t="n">
        <v>0.05</v>
      </c>
      <c r="M168" s="0" t="n">
        <v>0.07580000000000001</v>
      </c>
      <c r="N168" s="0" t="n">
        <v>0.0258</v>
      </c>
      <c r="O168" s="0" t="inlineStr">
        <is>
          <t>—</t>
        </is>
      </c>
    </row>
    <row r="169">
      <c r="A169" s="0" t="inlineStr">
        <is>
          <t>20260611</t>
        </is>
      </c>
      <c r="B169" s="0" t="inlineStr">
        <is>
          <t>可转债ETF</t>
        </is>
      </c>
      <c r="C169" s="0" t="inlineStr">
        <is>
          <t>511380</t>
        </is>
      </c>
      <c r="D169" s="0" t="n">
        <v>14500</v>
      </c>
      <c r="E169" s="0" t="n">
        <v>13.8644</v>
      </c>
      <c r="F169" s="0" t="n">
        <v>201033.8</v>
      </c>
      <c r="G169" s="0" t="n">
        <v>13.814</v>
      </c>
      <c r="H169" s="0" t="inlineStr">
        <is>
          <t>+0.32%</t>
        </is>
      </c>
      <c r="I169" s="0" t="n">
        <v>200303</v>
      </c>
      <c r="J169" s="0" t="n">
        <v>-730.8</v>
      </c>
      <c r="K169" s="0" t="n">
        <v>-0.0036</v>
      </c>
      <c r="L169" s="0" t="n">
        <v>0.1</v>
      </c>
      <c r="M169" s="0" t="n">
        <v>0.0599</v>
      </c>
      <c r="N169" s="0" t="n">
        <v>-0.0401</v>
      </c>
      <c r="O169" s="0" t="inlineStr">
        <is>
          <t>📊权重预警偏离-4.0%</t>
        </is>
      </c>
    </row>
    <row r="170">
      <c r="A170" s="0" t="inlineStr">
        <is>
          <t>20260611</t>
        </is>
      </c>
      <c r="B170" s="0" t="inlineStr">
        <is>
          <t>10年国债ETF</t>
        </is>
      </c>
      <c r="C170" s="0" t="inlineStr">
        <is>
          <t>511260</t>
        </is>
      </c>
      <c r="D170" s="0" t="n">
        <v>3700</v>
      </c>
      <c r="E170" s="0" t="n">
        <v>135.645</v>
      </c>
      <c r="F170" s="0" t="n">
        <v>501886.5</v>
      </c>
      <c r="G170" s="0" t="n">
        <v>135.511</v>
      </c>
      <c r="H170" s="0" t="inlineStr">
        <is>
          <t>-0.11%</t>
        </is>
      </c>
      <c r="I170" s="0" t="n">
        <v>501390.7</v>
      </c>
      <c r="J170" s="0" t="n">
        <v>-495.8</v>
      </c>
      <c r="K170" s="0" t="n">
        <v>-0.001</v>
      </c>
      <c r="L170" s="0" t="n">
        <v>0.1</v>
      </c>
      <c r="M170" s="0" t="n">
        <v>0.15</v>
      </c>
      <c r="N170" s="0" t="n">
        <v>0.05</v>
      </c>
      <c r="O170" s="0" t="inlineStr">
        <is>
          <t>📊权重预警偏离+5.0%</t>
        </is>
      </c>
    </row>
    <row r="171">
      <c r="A171" s="0" t="inlineStr">
        <is>
          <t>20260611</t>
        </is>
      </c>
      <c r="B171" s="0" t="inlineStr">
        <is>
          <t>5年国债ETF</t>
        </is>
      </c>
      <c r="C171" s="0" t="inlineStr">
        <is>
          <t>511010</t>
        </is>
      </c>
      <c r="D171" s="0" t="n">
        <v>3500</v>
      </c>
      <c r="E171" s="0" t="n">
        <v>141.2121</v>
      </c>
      <c r="F171" s="0" t="n">
        <v>494242.35</v>
      </c>
      <c r="G171" s="0" t="n">
        <v>141.138</v>
      </c>
      <c r="H171" s="0" t="inlineStr">
        <is>
          <t>-0.10%</t>
        </is>
      </c>
      <c r="I171" s="0" t="n">
        <v>493983</v>
      </c>
      <c r="J171" s="0" t="n">
        <v>-259.35</v>
      </c>
      <c r="K171" s="0" t="n">
        <v>-0.0005</v>
      </c>
      <c r="L171" s="0" t="n">
        <v>0.1</v>
      </c>
      <c r="M171" s="0" t="n">
        <v>0.1478</v>
      </c>
      <c r="N171" s="0" t="n">
        <v>0.0478</v>
      </c>
      <c r="O171" s="0" t="inlineStr">
        <is>
          <t>📊权重预警偏离+4.8%</t>
        </is>
      </c>
    </row>
    <row r="172">
      <c r="A172" s="0" t="inlineStr">
        <is>
          <t>20260611</t>
        </is>
      </c>
      <c r="B172" s="0" t="inlineStr">
        <is>
          <t>短融ETF</t>
        </is>
      </c>
      <c r="C172" s="0" t="inlineStr">
        <is>
          <t>511360</t>
        </is>
      </c>
      <c r="D172" s="0" t="n">
        <v>2200</v>
      </c>
      <c r="E172" s="0" t="n">
        <v>113.462</v>
      </c>
      <c r="F172" s="0" t="n">
        <v>249616.4</v>
      </c>
      <c r="G172" s="0" t="n">
        <v>113.552</v>
      </c>
      <c r="H172" s="0" t="inlineStr">
        <is>
          <t>-0.01%</t>
        </is>
      </c>
      <c r="I172" s="0" t="n">
        <v>249814.4</v>
      </c>
      <c r="J172" s="0" t="n">
        <v>198</v>
      </c>
      <c r="K172" s="0" t="n">
        <v>0.0008</v>
      </c>
      <c r="L172" s="0" t="n">
        <v>0.05</v>
      </c>
      <c r="M172" s="0" t="n">
        <v>0.0747</v>
      </c>
      <c r="N172" s="0" t="n">
        <v>0.0247</v>
      </c>
      <c r="O172" s="0" t="inlineStr">
        <is>
          <t>—</t>
        </is>
      </c>
    </row>
    <row r="173">
      <c r="A173" s="0" t="inlineStr">
        <is>
          <t>20260611</t>
        </is>
      </c>
      <c r="B173" s="0" t="inlineStr">
        <is>
          <t>黄金ETF</t>
        </is>
      </c>
      <c r="C173" s="0" t="inlineStr">
        <is>
          <t>518880</t>
        </is>
      </c>
      <c r="D173" s="0" t="n">
        <v>47800</v>
      </c>
      <c r="E173" s="0" t="n">
        <v>9.3302</v>
      </c>
      <c r="F173" s="0" t="n">
        <v>445983.56</v>
      </c>
      <c r="G173" s="0" t="n">
        <v>8.506</v>
      </c>
      <c r="H173" s="0" t="inlineStr">
        <is>
          <t>-2.63%</t>
        </is>
      </c>
      <c r="I173" s="0" t="n">
        <v>406586.8</v>
      </c>
      <c r="J173" s="0" t="n">
        <v>-39396.76</v>
      </c>
      <c r="K173" s="0" t="n">
        <v>-0.0883</v>
      </c>
      <c r="L173" s="0" t="n">
        <v>0.15</v>
      </c>
      <c r="M173" s="0" t="n">
        <v>0.1216</v>
      </c>
      <c r="N173" s="0" t="n">
        <v>-0.0284</v>
      </c>
      <c r="O173" s="0" t="inlineStr">
        <is>
          <t>—</t>
        </is>
      </c>
    </row>
    <row r="174">
      <c r="A174" s="0" t="inlineStr">
        <is>
          <t>20260611</t>
        </is>
      </c>
      <c r="B174" s="0" t="inlineStr">
        <is>
          <t>银华日利ETF</t>
        </is>
      </c>
      <c r="C174" s="0" t="inlineStr">
        <is>
          <t>511880</t>
        </is>
      </c>
      <c r="D174" s="0" t="n">
        <v>0</v>
      </c>
      <c r="F174" s="0" t="n">
        <v>0</v>
      </c>
      <c r="G174" s="0" t="n">
        <v>100.523</v>
      </c>
      <c r="H174" s="0" t="inlineStr">
        <is>
          <t>+0.01%</t>
        </is>
      </c>
      <c r="I174" s="0" t="n">
        <v>0</v>
      </c>
      <c r="J174" s="0" t="n">
        <v>0</v>
      </c>
      <c r="K174" s="0" t="n">
        <v>0</v>
      </c>
      <c r="L174" s="0" t="n">
        <v>0.05</v>
      </c>
      <c r="M174" s="0" t="n">
        <v>0</v>
      </c>
      <c r="N174" s="0" t="n">
        <v>-0.05</v>
      </c>
      <c r="O174" s="0" t="inlineStr">
        <is>
          <t>📊权重预警偏离-5.0%</t>
        </is>
      </c>
    </row>
    <row r="175">
      <c r="A175" s="0" t="inlineStr">
        <is>
          <t>20260611</t>
        </is>
      </c>
      <c r="B175" s="0" t="inlineStr">
        <is>
          <t>华宝添益ETF</t>
        </is>
      </c>
      <c r="C175" s="0" t="inlineStr">
        <is>
          <t>511990</t>
        </is>
      </c>
      <c r="D175" s="0" t="n">
        <v>0</v>
      </c>
      <c r="F175" s="0" t="n">
        <v>0</v>
      </c>
      <c r="G175" s="0" t="n">
        <v>100.002</v>
      </c>
      <c r="H175" s="0" t="inlineStr">
        <is>
          <t>+0.00%</t>
        </is>
      </c>
      <c r="I175" s="0" t="n">
        <v>0</v>
      </c>
      <c r="J175" s="0" t="n">
        <v>0</v>
      </c>
      <c r="K175" s="0" t="n">
        <v>0</v>
      </c>
      <c r="L175" s="0" t="n">
        <v>0.05</v>
      </c>
      <c r="M175" s="0" t="n">
        <v>0</v>
      </c>
      <c r="N175" s="0" t="n">
        <v>-0.05</v>
      </c>
      <c r="O175" s="0" t="inlineStr">
        <is>
          <t>📊权重预警偏离-5.0%</t>
        </is>
      </c>
    </row>
    <row r="176">
      <c r="A176" t="inlineStr">
        <is>
          <t>20260615</t>
        </is>
      </c>
      <c r="B176" t="inlineStr">
        <is>
          <t>沪深300ETF</t>
        </is>
      </c>
      <c r="C176" t="inlineStr">
        <is>
          <t>510300</t>
        </is>
      </c>
      <c r="D176" t="n">
        <v>153800</v>
      </c>
      <c r="E176" t="n">
        <v>4.885</v>
      </c>
      <c r="F176" t="n">
        <v>751313</v>
      </c>
      <c r="G176" t="n">
        <v>4.818</v>
      </c>
      <c r="H176" t="n">
        <v>0.0141</v>
      </c>
      <c r="I176" t="n">
        <v>741008.4</v>
      </c>
      <c r="J176" t="n">
        <v>-10304.6</v>
      </c>
      <c r="K176" t="n">
        <v>-0.0137</v>
      </c>
      <c r="L176" t="n">
        <v>0.15</v>
      </c>
      <c r="M176" t="n">
        <v>0.2156</v>
      </c>
      <c r="N176" t="n">
        <v>0.06560000000000001</v>
      </c>
      <c r="O176" t="inlineStr">
        <is>
          <t>📊权重预警偏离+6.6%</t>
        </is>
      </c>
    </row>
    <row r="177">
      <c r="A177" t="inlineStr">
        <is>
          <t>20260615</t>
        </is>
      </c>
      <c r="B177" t="inlineStr">
        <is>
          <t>中证500ETF</t>
        </is>
      </c>
      <c r="C177" t="inlineStr">
        <is>
          <t>510500</t>
        </is>
      </c>
      <c r="D177" t="n">
        <v>20000</v>
      </c>
      <c r="E177" t="n">
        <v>8.696</v>
      </c>
      <c r="F177" t="n">
        <v>173920</v>
      </c>
      <c r="G177" t="n">
        <v>8.242000000000001</v>
      </c>
      <c r="H177" t="n">
        <v>0.0134</v>
      </c>
      <c r="I177" t="n">
        <v>164840</v>
      </c>
      <c r="J177" t="n">
        <v>-9080</v>
      </c>
      <c r="K177" t="n">
        <v>-0.0522</v>
      </c>
      <c r="L177" t="n">
        <v>0.1</v>
      </c>
      <c r="M177" t="n">
        <v>0.048</v>
      </c>
      <c r="N177" t="n">
        <v>-0.052</v>
      </c>
      <c r="O177" t="inlineStr">
        <is>
          <t>📊权重预警偏离-5.2%</t>
        </is>
      </c>
    </row>
    <row r="178">
      <c r="A178" t="inlineStr">
        <is>
          <t>20260615</t>
        </is>
      </c>
      <c r="B178" t="inlineStr">
        <is>
          <t>科创50ETF</t>
        </is>
      </c>
      <c r="C178" t="inlineStr">
        <is>
          <t>588050</t>
        </is>
      </c>
      <c r="D178" t="n">
        <v>60000</v>
      </c>
      <c r="E178" t="n">
        <v>1.838</v>
      </c>
      <c r="F178" t="n">
        <v>110280</v>
      </c>
      <c r="G178" t="n">
        <v>1.709</v>
      </c>
      <c r="H178" t="n">
        <v>-0.0005999999999999999</v>
      </c>
      <c r="I178" t="n">
        <v>102540</v>
      </c>
      <c r="J178" t="n">
        <v>-7740</v>
      </c>
      <c r="K178" t="n">
        <v>-0.0702</v>
      </c>
      <c r="L178" t="n">
        <v>0.05</v>
      </c>
      <c r="M178" t="n">
        <v>0.0298</v>
      </c>
      <c r="N178" t="n">
        <v>-0.0202</v>
      </c>
      <c r="O178" t="inlineStr">
        <is>
          <t>⚡预警：浮亏-7.0% &gt;= -5%，暂停新增买入</t>
        </is>
      </c>
    </row>
    <row r="179">
      <c r="A179" t="inlineStr">
        <is>
          <t>20260615</t>
        </is>
      </c>
      <c r="B179" t="inlineStr">
        <is>
          <t>创业板ETF</t>
        </is>
      </c>
      <c r="C179" t="inlineStr">
        <is>
          <t>159915</t>
        </is>
      </c>
      <c r="D179" t="n">
        <v>63000</v>
      </c>
      <c r="E179" t="n">
        <v>3.968</v>
      </c>
      <c r="F179" t="n">
        <v>249984</v>
      </c>
      <c r="G179" t="n">
        <v>3.846</v>
      </c>
      <c r="H179" t="n">
        <v>0.0042</v>
      </c>
      <c r="I179" t="n">
        <v>242298</v>
      </c>
      <c r="J179" t="n">
        <v>-7686</v>
      </c>
      <c r="K179" t="n">
        <v>-0.0307</v>
      </c>
      <c r="L179" t="n">
        <v>0.05</v>
      </c>
      <c r="M179" t="n">
        <v>0.07049999999999999</v>
      </c>
      <c r="N179" t="n">
        <v>0.0205</v>
      </c>
      <c r="O179" t="inlineStr">
        <is>
          <t>—</t>
        </is>
      </c>
    </row>
    <row r="180">
      <c r="A180" t="inlineStr">
        <is>
          <t>20260615</t>
        </is>
      </c>
      <c r="B180" t="inlineStr">
        <is>
          <t>红利低波ETF</t>
        </is>
      </c>
      <c r="C180" t="inlineStr">
        <is>
          <t>512890</t>
        </is>
      </c>
      <c r="D180" t="n">
        <v>218000</v>
      </c>
      <c r="E180" t="n">
        <v>1.15</v>
      </c>
      <c r="F180" t="n">
        <v>250700</v>
      </c>
      <c r="G180" t="n">
        <v>1.172</v>
      </c>
      <c r="H180" t="n">
        <v>0.0086</v>
      </c>
      <c r="I180" t="n">
        <v>255496</v>
      </c>
      <c r="J180" t="n">
        <v>4796</v>
      </c>
      <c r="K180" t="n">
        <v>0.0191</v>
      </c>
      <c r="L180" t="n">
        <v>0.05</v>
      </c>
      <c r="M180" t="n">
        <v>0.0743</v>
      </c>
      <c r="N180" t="n">
        <v>0.0243</v>
      </c>
      <c r="O180" t="inlineStr">
        <is>
          <t>—</t>
        </is>
      </c>
    </row>
    <row r="181">
      <c r="A181" t="inlineStr">
        <is>
          <t>20260615</t>
        </is>
      </c>
      <c r="B181" t="inlineStr">
        <is>
          <t>可转债ETF</t>
        </is>
      </c>
      <c r="C181" t="inlineStr">
        <is>
          <t>511380</t>
        </is>
      </c>
      <c r="D181" t="n">
        <v>14500</v>
      </c>
      <c r="E181" t="n">
        <v>13.8644</v>
      </c>
      <c r="F181" t="n">
        <v>201033.8</v>
      </c>
      <c r="G181" t="n">
        <v>13.929</v>
      </c>
      <c r="H181" t="n">
        <v>0.0083</v>
      </c>
      <c r="I181" t="n">
        <v>201970.5</v>
      </c>
      <c r="J181" t="n">
        <v>936.7</v>
      </c>
      <c r="K181" t="n">
        <v>0.0047</v>
      </c>
      <c r="L181" t="n">
        <v>0.1</v>
      </c>
      <c r="M181" t="n">
        <v>0.0588</v>
      </c>
      <c r="N181" t="n">
        <v>-0.0412</v>
      </c>
      <c r="O181" t="inlineStr">
        <is>
          <t>📊权重预警偏离-4.1%</t>
        </is>
      </c>
    </row>
    <row r="182">
      <c r="A182" t="inlineStr">
        <is>
          <t>20260615</t>
        </is>
      </c>
      <c r="B182" t="inlineStr">
        <is>
          <t>10年国债ETF</t>
        </is>
      </c>
      <c r="C182" t="inlineStr">
        <is>
          <t>511260</t>
        </is>
      </c>
      <c r="D182" t="n">
        <v>3700</v>
      </c>
      <c r="E182" t="n">
        <v>135.645</v>
      </c>
      <c r="F182" t="n">
        <v>501886.5</v>
      </c>
      <c r="G182" t="n">
        <v>135.582</v>
      </c>
      <c r="H182" t="n">
        <v>0.0005</v>
      </c>
      <c r="I182" t="n">
        <v>501653.4</v>
      </c>
      <c r="J182" t="n">
        <v>-233.1</v>
      </c>
      <c r="K182" t="n">
        <v>-0.0005</v>
      </c>
      <c r="L182" t="n">
        <v>0.1</v>
      </c>
      <c r="M182" t="n">
        <v>0.146</v>
      </c>
      <c r="N182" t="n">
        <v>0.046</v>
      </c>
      <c r="O182" t="inlineStr">
        <is>
          <t>📊权重预警偏离+4.6%</t>
        </is>
      </c>
    </row>
    <row r="183">
      <c r="A183" t="inlineStr">
        <is>
          <t>20260615</t>
        </is>
      </c>
      <c r="B183" t="inlineStr">
        <is>
          <t>5年国债ETF</t>
        </is>
      </c>
      <c r="C183" t="inlineStr">
        <is>
          <t>511010</t>
        </is>
      </c>
      <c r="D183" t="n">
        <v>3500</v>
      </c>
      <c r="E183" t="n">
        <v>141.2121</v>
      </c>
      <c r="F183" t="n">
        <v>494242.35</v>
      </c>
      <c r="G183" t="n">
        <v>141.163</v>
      </c>
      <c r="H183" t="n">
        <v>0.0002</v>
      </c>
      <c r="I183" t="n">
        <v>494070.5</v>
      </c>
      <c r="J183" t="n">
        <v>-171.85</v>
      </c>
      <c r="K183" t="n">
        <v>-0.0003</v>
      </c>
      <c r="L183" t="n">
        <v>0.1</v>
      </c>
      <c r="M183" t="n">
        <v>0.1438</v>
      </c>
      <c r="N183" t="n">
        <v>0.0438</v>
      </c>
      <c r="O183" t="inlineStr">
        <is>
          <t>📊权重预警偏离+4.4%</t>
        </is>
      </c>
    </row>
    <row r="184">
      <c r="A184" t="inlineStr">
        <is>
          <t>20260615</t>
        </is>
      </c>
      <c r="B184" t="inlineStr">
        <is>
          <t>短融ETF</t>
        </is>
      </c>
      <c r="C184" t="inlineStr">
        <is>
          <t>511360</t>
        </is>
      </c>
      <c r="D184" t="n">
        <v>2200</v>
      </c>
      <c r="E184" t="n">
        <v>113.462</v>
      </c>
      <c r="F184" t="n">
        <v>249616.4</v>
      </c>
      <c r="G184" t="n">
        <v>113.538</v>
      </c>
      <c r="H184" t="n">
        <v>-0.0001</v>
      </c>
      <c r="I184" t="n">
        <v>249783.6</v>
      </c>
      <c r="J184" t="n">
        <v>167.2</v>
      </c>
      <c r="K184" t="n">
        <v>0.0007</v>
      </c>
      <c r="L184" t="n">
        <v>0.05</v>
      </c>
      <c r="M184" t="n">
        <v>0.0727</v>
      </c>
      <c r="N184" t="n">
        <v>0.0227</v>
      </c>
      <c r="O184" t="inlineStr">
        <is>
          <t>—</t>
        </is>
      </c>
    </row>
    <row r="185">
      <c r="A185" t="inlineStr">
        <is>
          <t>20260615</t>
        </is>
      </c>
      <c r="B185" t="inlineStr">
        <is>
          <t>黄金ETF</t>
        </is>
      </c>
      <c r="C185" t="inlineStr">
        <is>
          <t>518880</t>
        </is>
      </c>
      <c r="D185" t="n">
        <v>55800</v>
      </c>
      <c r="E185" t="n">
        <v>9.232699999999999</v>
      </c>
      <c r="F185" t="n">
        <v>515184.66</v>
      </c>
      <c r="G185" t="n">
        <v>8.659000000000001</v>
      </c>
      <c r="H185" t="n">
        <v>0.018</v>
      </c>
      <c r="I185" t="n">
        <v>483172.2</v>
      </c>
      <c r="J185" t="n">
        <v>-32012.46</v>
      </c>
      <c r="K185" t="n">
        <v>-0.0621</v>
      </c>
      <c r="L185" t="n">
        <v>0.15</v>
      </c>
      <c r="M185" t="n">
        <v>0.1406</v>
      </c>
      <c r="N185" t="n">
        <v>-0.0094</v>
      </c>
      <c r="O185" t="inlineStr">
        <is>
          <t>—</t>
        </is>
      </c>
    </row>
    <row r="186">
      <c r="A186" t="inlineStr">
        <is>
          <t>20260615</t>
        </is>
      </c>
      <c r="B186" t="inlineStr">
        <is>
          <t>银华日利ETF</t>
        </is>
      </c>
      <c r="C186" t="inlineStr">
        <is>
          <t>511880</t>
        </is>
      </c>
      <c r="G186" t="n">
        <v>100.517</v>
      </c>
      <c r="H186" t="n">
        <v>-0.0001</v>
      </c>
      <c r="I186" t="n">
        <v>0</v>
      </c>
      <c r="J186" t="n">
        <v>0</v>
      </c>
      <c r="K186" t="n">
        <v>0</v>
      </c>
      <c r="L186" t="n">
        <v>0.05</v>
      </c>
      <c r="M186" t="n">
        <v>0</v>
      </c>
      <c r="N186" t="n">
        <v>-0.05</v>
      </c>
      <c r="O186" t="inlineStr">
        <is>
          <t>📊权重预警偏离-5.0%</t>
        </is>
      </c>
    </row>
    <row r="187">
      <c r="A187" t="inlineStr">
        <is>
          <t>20260615</t>
        </is>
      </c>
      <c r="B187" t="inlineStr">
        <is>
          <t>华宝添益ETF</t>
        </is>
      </c>
      <c r="C187" t="inlineStr">
        <is>
          <t>511990</t>
        </is>
      </c>
      <c r="G187" t="n">
        <v>100.003</v>
      </c>
      <c r="I187" t="n">
        <v>0</v>
      </c>
      <c r="J187" t="n">
        <v>0</v>
      </c>
      <c r="K187" t="n">
        <v>0</v>
      </c>
      <c r="L187" t="n">
        <v>0.05</v>
      </c>
      <c r="M187" t="n">
        <v>0</v>
      </c>
      <c r="N187" t="n">
        <v>-0.05</v>
      </c>
      <c r="O187" t="inlineStr">
        <is>
          <t>📊权重预警偏离-5.0%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2026-06-15T04:16:55Z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