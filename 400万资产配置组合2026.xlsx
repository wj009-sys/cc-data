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投资纪律速查（优化版 2026-05-21）</t>
        </is>
      </c>
    </row>
    <row r="3" ht="16.5" customHeight="1" s="1">
      <c r="A3" s="47" t="inlineStr">
        <is>
          <t>一、统一阶梯止盈（7%/9%/12% 三档）</t>
        </is>
      </c>
    </row>
    <row r="4">
      <c r="A4" s="48" t="inlineStr">
        <is>
          <t>适用：510300/588050/159915/512890/511380/518880 | 不适用：债底</t>
        </is>
      </c>
    </row>
    <row r="5" ht="14.5" customHeight="1" s="1">
      <c r="A5" s="49" t="inlineStr">
        <is>
          <t>档位</t>
        </is>
      </c>
      <c r="B5" s="49" t="inlineStr">
        <is>
          <t>浮盈阈值</t>
        </is>
      </c>
      <c r="C5" s="49" t="inlineStr">
        <is>
          <t>触发条件</t>
        </is>
      </c>
      <c r="D5" s="49" t="inlineStr">
        <is>
          <t>减仓比例</t>
        </is>
      </c>
      <c r="E5" s="49" t="inlineStr">
        <is>
          <t>锁定规则</t>
        </is>
      </c>
    </row>
    <row r="6" ht="14.5" customHeight="1" s="1">
      <c r="A6" s="50" t="inlineStr">
        <is>
          <t>第一档</t>
        </is>
      </c>
      <c r="B6" s="50" t="inlineStr">
        <is>
          <t>&gt;= +7%</t>
        </is>
      </c>
      <c r="C6" s="50" t="inlineStr">
        <is>
          <t>成本价 x 1.07</t>
        </is>
      </c>
      <c r="D6" s="50" t="inlineStr">
        <is>
          <t>20%</t>
        </is>
      </c>
      <c r="E6" s="50" t="inlineStr">
        <is>
          <t>每档仅触发一次，标记[已兑现]</t>
        </is>
      </c>
    </row>
    <row r="7" ht="14.5" customHeight="1" s="1">
      <c r="A7" s="50" t="inlineStr">
        <is>
          <t>第二档</t>
        </is>
      </c>
      <c r="B7" s="50" t="inlineStr">
        <is>
          <t>&gt;= +9%</t>
        </is>
      </c>
      <c r="C7" s="50" t="inlineStr">
        <is>
          <t>成本价 x 1.09</t>
        </is>
      </c>
      <c r="D7" s="50" t="inlineStr">
        <is>
          <t>30%</t>
        </is>
      </c>
      <c r="E7" s="50" t="inlineStr">
        <is>
          <t>累计已减 50%</t>
        </is>
      </c>
    </row>
    <row r="8" ht="14.5" customHeight="1" s="1">
      <c r="A8" s="50" t="inlineStr">
        <is>
          <t>第三档</t>
        </is>
      </c>
      <c r="B8" s="50" t="inlineStr">
        <is>
          <t>&gt;= +12%</t>
        </is>
      </c>
      <c r="C8" s="50" t="inlineStr">
        <is>
          <t>成本价 x 1.12</t>
        </is>
      </c>
      <c r="D8" s="50" t="inlineStr">
        <is>
          <t>剩余全部 100%</t>
        </is>
      </c>
      <c r="E8" s="50" t="inlineStr">
        <is>
          <t>清仓止盈，本轮交易结束</t>
        </is>
      </c>
    </row>
    <row r="10">
      <c r="A10" s="51" t="inlineStr">
        <is>
          <t>[新增] 止盈资金须2个交易日内再配置，优先补给低仓位资产或买入511360</t>
        </is>
      </c>
    </row>
    <row r="12" ht="16.5" customHeight="1" s="1">
      <c r="A12" s="47" t="inlineStr">
        <is>
          <t>二、高波动品种硬止损（科创50/创业板专用）</t>
        </is>
      </c>
    </row>
    <row r="13" ht="14.5" customHeight="1" s="1">
      <c r="A13" s="49" t="inlineStr">
        <is>
          <t>档位</t>
        </is>
      </c>
      <c r="B13" s="49" t="inlineStr">
        <is>
          <t>浮亏阈值</t>
        </is>
      </c>
      <c r="C13" s="49" t="inlineStr">
        <is>
          <t>次日执行动作</t>
        </is>
      </c>
      <c r="D13" s="49" t="inlineStr">
        <is>
          <t>减仓后状态</t>
        </is>
      </c>
      <c r="E13" s="49" t="inlineStr">
        <is>
          <t>备注</t>
        </is>
      </c>
    </row>
    <row r="14" ht="14.5" customHeight="1" s="1">
      <c r="A14" s="50" t="inlineStr">
        <is>
          <t>预警线</t>
        </is>
      </c>
      <c r="B14" s="50" t="inlineStr">
        <is>
          <t>&gt;= -5%</t>
        </is>
      </c>
      <c r="C14" s="50" t="inlineStr">
        <is>
          <t>记录台账，暂停新增买入</t>
        </is>
      </c>
      <c r="D14" s="50" t="inlineStr">
        <is>
          <t>保持仓位，进入观察</t>
        </is>
      </c>
      <c r="E14" s="50" t="inlineStr"/>
    </row>
    <row r="15" ht="14.5" customHeight="1" s="1">
      <c r="A15" s="50" t="inlineStr">
        <is>
          <t>止损A</t>
        </is>
      </c>
      <c r="B15" s="50" t="inlineStr">
        <is>
          <t>&gt;= -10%</t>
        </is>
      </c>
      <c r="C15" s="50" t="inlineStr">
        <is>
          <t>次日开盘市价卖出50%</t>
        </is>
      </c>
      <c r="D15" s="50" t="inlineStr">
        <is>
          <t>剩余~12.5万</t>
        </is>
      </c>
      <c r="E15" s="50" t="inlineStr">
        <is>
          <t>优化：放宽后</t>
        </is>
      </c>
    </row>
    <row r="16" ht="14.5" customHeight="1" s="1">
      <c r="A16" s="50" t="inlineStr">
        <is>
          <t>止损B</t>
        </is>
      </c>
      <c r="B16" s="50" t="inlineStr">
        <is>
          <t>&gt;= -15%</t>
        </is>
      </c>
      <c r="C16" s="50" t="inlineStr">
        <is>
          <t>次日开盘市价卖出100%</t>
        </is>
      </c>
      <c r="D16" s="50" t="inlineStr">
        <is>
          <t>彻底清仓，观察20日</t>
        </is>
      </c>
      <c r="E16" s="50" t="inlineStr">
        <is>
          <t>优化：放宽后</t>
        </is>
      </c>
    </row>
    <row r="18">
      <c r="A18" s="51" t="inlineStr">
        <is>
          <t>[新增] 动态止损：价格跌破20日均线且累计跌幅超8% -&gt; 预警，暂停新增买入</t>
        </is>
      </c>
    </row>
    <row r="20" ht="16.5" customHeight="1" s="1">
      <c r="A20" s="47" t="inlineStr">
        <is>
          <t>三、其他权益品种统一止损（-15%）</t>
        </is>
      </c>
    </row>
    <row r="21">
      <c r="A21" s="48" t="inlineStr">
        <is>
          <t>适用：510300/512890/518880/511380  |  清仓后观察40个交易日，站稳20日均线方可重建</t>
        </is>
      </c>
    </row>
    <row r="23" ht="16.5" customHeight="1" s="1">
      <c r="A23" s="47" t="inlineStr">
        <is>
          <t>四、组合再平衡（半年度末 ±20% 阀值）</t>
        </is>
      </c>
    </row>
    <row r="24" ht="14.5" customHeight="1" s="1">
      <c r="A24" s="49" t="inlineStr">
        <is>
          <t>检查频率</t>
        </is>
      </c>
      <c r="B24" s="49" t="inlineStr">
        <is>
          <t>阀值</t>
        </is>
      </c>
      <c r="C24" s="49" t="inlineStr">
        <is>
          <t>执行动作</t>
        </is>
      </c>
      <c r="D24" s="49" t="inlineStr">
        <is>
          <t>完成时限</t>
        </is>
      </c>
      <c r="E24" s="49" t="n"/>
    </row>
    <row r="25" ht="14.5" customHeight="1" s="1">
      <c r="A25" s="50" t="inlineStr">
        <is>
          <t>半年度末检查日</t>
        </is>
      </c>
      <c r="B25" s="50" t="inlineStr">
        <is>
          <t>相对偏离 &gt; ±20%</t>
        </is>
      </c>
      <c r="C25" s="50" t="inlineStr">
        <is>
          <t>全仓调回目标权重</t>
        </is>
      </c>
      <c r="D25" s="50" t="inlineStr">
        <is>
          <t>当日收盘执行</t>
        </is>
      </c>
      <c r="E25" s="50" t="n"/>
    </row>
    <row r="26" ht="14.5" customHeight="1" s="1">
      <c r="A26" s="50" t="inlineStr">
        <is>
          <t>检查日定义</t>
        </is>
      </c>
      <c r="B26" s="50" t="inlineStr">
        <is>
          <t>每年6月、12月最后一个交易日</t>
        </is>
      </c>
      <c r="C26" s="50" t="n"/>
      <c r="D26" s="50" t="n"/>
      <c r="E26" s="50" t="n"/>
    </row>
    <row r="27" ht="14.5" customHeight="1" s="1">
      <c r="A27" s="50" t="inlineStr">
        <is>
          <t>偏离计算</t>
        </is>
      </c>
      <c r="B27" s="50" t="inlineStr">
        <is>
          <t>(实际权重-目标权重)/目标权重</t>
        </is>
      </c>
      <c r="C27" s="50" t="inlineStr">
        <is>
          <t>例: 目标10%→实际&lt;8%或&gt;12%触发</t>
        </is>
      </c>
      <c r="D27" s="50" t="n"/>
      <c r="E27" s="50" t="n"/>
    </row>
    <row r="28"/>
    <row r="29">
      <c r="A29" s="51" t="n"/>
    </row>
    <row r="30">
      <c r="A30" s="52" t="inlineStr">
        <is>
          <t>卖出排序：黄金&gt;科创/创业&gt;可转债&gt;沪深300&gt;红利低波</t>
        </is>
      </c>
    </row>
    <row r="32" ht="16.5" customHeight="1" s="1">
      <c r="A32" s="47" t="inlineStr">
        <is>
          <t>五、熔断与黑天鹅应对</t>
        </is>
      </c>
    </row>
    <row r="33" ht="14.5" customHeight="1" s="1">
      <c r="A33" s="49" t="inlineStr">
        <is>
          <t>档位</t>
        </is>
      </c>
      <c r="B33" s="49" t="inlineStr">
        <is>
          <t>组合回撤</t>
        </is>
      </c>
      <c r="C33" s="49" t="inlineStr">
        <is>
          <t>触发状态</t>
        </is>
      </c>
      <c r="D33" s="49" t="inlineStr">
        <is>
          <t>强制动作</t>
        </is>
      </c>
      <c r="E33" s="49" t="inlineStr">
        <is>
          <t>备注</t>
        </is>
      </c>
    </row>
    <row r="34" ht="14.5" customHeight="1" s="1">
      <c r="A34" s="50" t="inlineStr">
        <is>
          <t>绿色</t>
        </is>
      </c>
      <c r="B34" s="50" t="inlineStr">
        <is>
          <t>&lt; -5%</t>
        </is>
      </c>
      <c r="C34" s="50" t="inlineStr">
        <is>
          <t>正常波动</t>
        </is>
      </c>
      <c r="D34" s="50" t="inlineStr">
        <is>
          <t>维持既有纪律</t>
        </is>
      </c>
      <c r="E34" s="50" t="inlineStr"/>
    </row>
    <row r="35" ht="14.5" customHeight="1" s="1">
      <c r="A35" s="50" t="inlineStr">
        <is>
          <t>黄色</t>
        </is>
      </c>
      <c r="B35" s="50" t="inlineStr">
        <is>
          <t>&gt;= -10%</t>
        </is>
      </c>
      <c r="C35" s="50" t="inlineStr">
        <is>
          <t>组合预警</t>
        </is>
      </c>
      <c r="D35" s="50" t="inlineStr">
        <is>
          <t>暂停新建仓+追涨，仅允许止盈/止损/再平衡</t>
        </is>
      </c>
      <c r="E35" s="50" t="inlineStr"/>
    </row>
    <row r="36" ht="14.5" customHeight="1" s="1">
      <c r="A36" s="50" t="inlineStr">
        <is>
          <t>红色</t>
        </is>
      </c>
      <c r="B36" s="50" t="inlineStr">
        <is>
          <t>&gt;= -12%</t>
        </is>
      </c>
      <c r="C36" s="50" t="inlineStr">
        <is>
          <t>组合熔断</t>
        </is>
      </c>
      <c r="D36" s="50" t="inlineStr">
        <is>
          <t>权益压至60%以下，资金转债/货基</t>
        </is>
      </c>
      <c r="E36" s="50" t="inlineStr">
        <is>
          <t>不变</t>
        </is>
      </c>
    </row>
    <row r="37" ht="14.5" customHeight="1" s="1">
      <c r="A37" s="50" t="inlineStr">
        <is>
          <t>黑天鹅</t>
        </is>
      </c>
      <c r="B37" s="50" t="inlineStr">
        <is>
          <t>&gt;= -15%</t>
        </is>
      </c>
      <c r="C37" s="50" t="inlineStr">
        <is>
          <t>极端风险</t>
        </is>
      </c>
      <c r="D37" s="50" t="inlineStr">
        <is>
          <t>权益压至40%以下；保留20%现金+40%债券</t>
        </is>
      </c>
      <c r="E37" s="50" t="inlineStr">
        <is>
          <t>新增</t>
        </is>
      </c>
    </row>
    <row r="39">
      <c r="A39" s="52" t="inlineStr">
        <is>
          <t>黑天鹅卖出顺序：科创50&gt;创业板&gt;黄金(保留底10万)&gt;可转债 | 恢复：回撤&lt;-10%</t>
        </is>
      </c>
    </row>
    <row r="40">
      <c r="A40" s="51" t="inlineStr">
        <is>
          <t>不可抗拒条款：触发当日必须下达卖出指令，不得以等反弹为由拖延</t>
        </is>
      </c>
    </row>
    <row r="42" ht="16.5" customHeight="1" s="1">
      <c r="A42" s="47" t="inlineStr">
        <is>
          <t>六、黄金ETF（518880）建仓（优化版：底仓+定投+大跌加码）</t>
        </is>
      </c>
    </row>
    <row r="43" ht="14.5" customHeight="1" s="1">
      <c r="A43" s="49" t="inlineStr">
        <is>
          <t>阶段</t>
        </is>
      </c>
      <c r="B43" s="49" t="inlineStr">
        <is>
          <t>触发条件</t>
        </is>
      </c>
      <c r="C43" s="49" t="inlineStr">
        <is>
          <t>单次投入</t>
        </is>
      </c>
      <c r="D43" s="49" t="inlineStr">
        <is>
          <t>累计投入</t>
        </is>
      </c>
      <c r="E43" s="49" t="inlineStr">
        <is>
          <t>仓位进度</t>
        </is>
      </c>
    </row>
    <row r="44" ht="14.5" customHeight="1" s="1">
      <c r="A44" s="50" t="inlineStr">
        <is>
          <t>底仓先行</t>
        </is>
      </c>
      <c r="B44" s="50" t="inlineStr">
        <is>
          <t>立即执行</t>
        </is>
      </c>
      <c r="C44" s="50" t="inlineStr">
        <is>
          <t>25万</t>
        </is>
      </c>
      <c r="D44" s="50" t="inlineStr">
        <is>
          <t>25万</t>
        </is>
      </c>
      <c r="E44" s="50" t="inlineStr">
        <is>
          <t>33%</t>
        </is>
      </c>
    </row>
    <row r="45" ht="14.5" customHeight="1" s="1">
      <c r="A45" s="50" t="inlineStr">
        <is>
          <t>定投阶段</t>
        </is>
      </c>
      <c r="B45" s="50" t="inlineStr">
        <is>
          <t>每月固定（第2-12月）</t>
        </is>
      </c>
      <c r="C45" s="50" t="inlineStr">
        <is>
          <t>4.5万/月</t>
        </is>
      </c>
      <c r="D45" s="50" t="inlineStr">
        <is>
          <t>25-70万</t>
        </is>
      </c>
      <c r="E45" s="50" t="inlineStr">
        <is>
          <t>33%-93%</t>
        </is>
      </c>
    </row>
    <row r="46" ht="14.5" customHeight="1" s="1">
      <c r="A46" s="50" t="inlineStr">
        <is>
          <t>大跌加码</t>
        </is>
      </c>
      <c r="B46" s="50" t="inlineStr">
        <is>
          <t>单月跌幅超5%</t>
        </is>
      </c>
      <c r="C46" s="50" t="inlineStr">
        <is>
          <t>5万/次</t>
        </is>
      </c>
      <c r="D46" s="50" t="inlineStr">
        <is>
          <t>累计不超过75万</t>
        </is>
      </c>
      <c r="E46" s="50" t="inlineStr">
        <is>
          <t>灵活补充</t>
        </is>
      </c>
    </row>
    <row r="47" ht="14.5" customHeight="1" s="1">
      <c r="A47" s="50" t="inlineStr">
        <is>
          <t>收官</t>
        </is>
      </c>
      <c r="B47" s="50" t="inlineStr">
        <is>
          <t>12个月完成或累计达75万</t>
        </is>
      </c>
      <c r="C47" s="50" t="inlineStr">
        <is>
          <t>补齐剩余</t>
        </is>
      </c>
      <c r="D47" s="50" t="inlineStr">
        <is>
          <t>75万</t>
        </is>
      </c>
      <c r="E47" s="50" t="inlineStr">
        <is>
          <t>100%</t>
        </is>
      </c>
    </row>
    <row r="49">
      <c r="A49" s="52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7" t="inlineStr">
        <is>
          <t>七、盈利提取规则（新增）</t>
        </is>
      </c>
    </row>
    <row r="52" ht="14.5" customHeight="1" s="1">
      <c r="A52" s="53" t="inlineStr">
        <is>
          <t>年收益&gt;15%时提取50%至独立现金账户，作为胜利果实锁定，不计入再平衡</t>
        </is>
      </c>
    </row>
    <row r="54" ht="16.5" customHeight="1" s="1">
      <c r="A54" s="47" t="inlineStr">
        <is>
          <t>八、流动性三原则</t>
        </is>
      </c>
    </row>
    <row r="55" ht="14.5" customHeight="1" s="1">
      <c r="A55" s="53" t="inlineStr">
        <is>
          <t>511360 (25万)：T+0战术灵活配置，作为组合唯一现金管理工具，类现金合计≥25万</t>
        </is>
      </c>
    </row>
  </sheetData>
  <mergeCells count="19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J14" sqref="J14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4" min="8" max="8"/>
    <col width="10.6388888888889" customWidth="1" style="55" min="9" max="9"/>
    <col width="16.4444444444444" customWidth="1" style="56" min="10" max="10"/>
    <col width="14.2222222222222" customWidth="1" style="57" min="11" max="11"/>
    <col width="15.1851851851852" customWidth="1" style="1" min="12" max="12"/>
    <col width="10.6388888888889" customWidth="1" style="57" min="13" max="13"/>
    <col width="43.4444444444444" customWidth="1" style="58" min="14" max="14"/>
    <col width="16.4444444444444" customWidth="1" style="1" min="15" max="15"/>
    <col width="9.546296296296299" customWidth="1" style="1" min="16" max="16"/>
    <col width="12.8148148148148" customWidth="1" style="1" min="17" max="18"/>
  </cols>
  <sheetData>
    <row r="1" ht="115.2" customHeight="1" s="1">
      <c r="A1" s="16" t="inlineStr">
        <is>
          <t>更新日期: 2026-06-22 (数据日期: 2026-06-22)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9" t="inlineStr">
        <is>
          <t>成本价</t>
        </is>
      </c>
      <c r="I1" s="60" t="inlineStr">
        <is>
          <t>数量</t>
        </is>
      </c>
      <c r="J1" s="61" t="inlineStr">
        <is>
          <t>成本</t>
        </is>
      </c>
      <c r="K1" s="17" t="inlineStr">
        <is>
          <t>今日收盘价</t>
        </is>
      </c>
      <c r="L1" s="61" t="inlineStr">
        <is>
          <t>浮盈/亏</t>
        </is>
      </c>
      <c r="M1" s="62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3" t="n">
        <v>4000000</v>
      </c>
      <c r="D2" s="64">
        <f>E2*C2</f>
        <v/>
      </c>
      <c r="E2" s="26" t="n">
        <v>0.1875</v>
      </c>
      <c r="F2" s="65" t="n">
        <v>0.2177</v>
      </c>
      <c r="G2" s="65" t="n">
        <v>0.0677</v>
      </c>
      <c r="H2" s="66" t="n">
        <v>4.885</v>
      </c>
      <c r="I2" s="67" t="n">
        <v>153800</v>
      </c>
      <c r="J2" s="68">
        <f>H2*I2</f>
        <v/>
      </c>
      <c r="K2" s="69" t="n">
        <v>4.984</v>
      </c>
      <c r="L2" s="70" t="n">
        <v>15226.2</v>
      </c>
      <c r="M2" s="71" t="n">
        <v>0.0203</v>
      </c>
      <c r="N2" s="23" t="inlineStr">
        <is>
          <t>📊权重预警偏离+6.8%</t>
        </is>
      </c>
      <c r="O2" s="72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3" t="n">
        <v>4000000</v>
      </c>
      <c r="D3" s="74">
        <f>E3*C3</f>
        <v/>
      </c>
      <c r="E3" s="39" t="n">
        <v>0.0625</v>
      </c>
      <c r="F3" s="75" t="n">
        <v>0.0334</v>
      </c>
      <c r="G3" s="75" t="n">
        <v>-0.0166</v>
      </c>
      <c r="H3" s="76" t="n">
        <v>1.838</v>
      </c>
      <c r="I3" s="77" t="n">
        <v>60000</v>
      </c>
      <c r="J3" s="78">
        <f>H3*I3</f>
        <v/>
      </c>
      <c r="K3" s="79" t="n">
        <v>1.958</v>
      </c>
      <c r="L3" s="80" t="n">
        <v>7200</v>
      </c>
      <c r="M3" s="62" t="n">
        <v>0.0653</v>
      </c>
      <c r="N3" s="4" t="n"/>
      <c r="O3" s="72">
        <f>D3-J3</f>
        <v/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3" t="n">
        <v>4000000</v>
      </c>
      <c r="D4" s="64">
        <f>E4*C4</f>
        <v/>
      </c>
      <c r="E4" s="26" t="n">
        <v>0.0625</v>
      </c>
      <c r="F4" s="65" t="n">
        <v>0.0764</v>
      </c>
      <c r="G4" s="65" t="n">
        <v>0.0264</v>
      </c>
      <c r="H4" s="69" t="n">
        <v>3.968</v>
      </c>
      <c r="I4" s="67" t="n">
        <v>63000</v>
      </c>
      <c r="J4" s="68">
        <f>H4*I4</f>
        <v/>
      </c>
      <c r="K4" s="79" t="n">
        <v>4.269</v>
      </c>
      <c r="L4" s="70" t="n">
        <v>18963</v>
      </c>
      <c r="M4" s="71" t="n">
        <v>0.0759</v>
      </c>
      <c r="N4" s="23" t="inlineStr">
        <is>
          <t>🟢止盈第一档：浮盈7.6% &gt;= 7%，减仓20%</t>
        </is>
      </c>
      <c r="O4" s="72" t="n"/>
    </row>
    <row r="5" customFormat="1" s="10">
      <c r="A5" s="22" t="n">
        <v>512890</v>
      </c>
      <c r="B5" s="22" t="inlineStr">
        <is>
          <t>华泰柏瑞红利低波ETF</t>
        </is>
      </c>
      <c r="C5" s="63" t="n">
        <v>4000000</v>
      </c>
      <c r="D5" s="64">
        <f>E5*C5</f>
        <v/>
      </c>
      <c r="E5" s="26" t="n">
        <v>0.0625</v>
      </c>
      <c r="F5" s="65" t="n">
        <v>0.06900000000000001</v>
      </c>
      <c r="G5" s="65" t="n">
        <v>0.019</v>
      </c>
      <c r="H5" s="69" t="n">
        <v>1.15</v>
      </c>
      <c r="I5" s="67" t="n">
        <v>218000</v>
      </c>
      <c r="J5" s="68">
        <f>H5*I5</f>
        <v/>
      </c>
      <c r="K5" s="79" t="n">
        <v>1.115</v>
      </c>
      <c r="L5" s="70" t="n">
        <v>-7630</v>
      </c>
      <c r="M5" s="71" t="n">
        <v>-0.0304</v>
      </c>
      <c r="N5" s="23" t="n"/>
      <c r="O5" s="72" t="n"/>
    </row>
    <row r="6" customFormat="1" s="10">
      <c r="A6" s="36" t="n">
        <v>511380</v>
      </c>
      <c r="B6" s="36" t="inlineStr">
        <is>
          <t>可转债ETF</t>
        </is>
      </c>
      <c r="C6" s="73" t="n">
        <v>4000000</v>
      </c>
      <c r="D6" s="74">
        <f>E6*C6</f>
        <v/>
      </c>
      <c r="E6" s="39" t="n">
        <v>0.125</v>
      </c>
      <c r="F6" s="75" t="n">
        <v>0.0579</v>
      </c>
      <c r="G6" s="75" t="n">
        <v>-0.0421</v>
      </c>
      <c r="H6" s="76" t="n">
        <v>13.8644</v>
      </c>
      <c r="I6" s="77" t="n">
        <v>14500</v>
      </c>
      <c r="J6" s="78">
        <f>H6*I6</f>
        <v/>
      </c>
      <c r="K6" s="76" t="n">
        <v>14.067</v>
      </c>
      <c r="L6" s="80" t="n">
        <v>2937.7</v>
      </c>
      <c r="M6" s="62" t="n">
        <v>0.0146</v>
      </c>
      <c r="N6" s="4" t="inlineStr">
        <is>
          <t>📊权重预警偏离-4.2%</t>
        </is>
      </c>
      <c r="O6" s="72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3" t="n">
        <v>4000000</v>
      </c>
      <c r="D7" s="64">
        <f>E7*C7</f>
        <v/>
      </c>
      <c r="E7" s="26" t="n">
        <v>0.125</v>
      </c>
      <c r="F7" s="65" t="n">
        <v>0.1429</v>
      </c>
      <c r="G7" s="65" t="n">
        <v>0.0429</v>
      </c>
      <c r="H7" s="69" t="n">
        <v>135.645</v>
      </c>
      <c r="I7" s="67" t="n">
        <v>3700</v>
      </c>
      <c r="J7" s="68">
        <f>H7*I7</f>
        <v/>
      </c>
      <c r="K7" s="79" t="n">
        <v>135.984</v>
      </c>
      <c r="L7" s="70" t="n">
        <v>1254.3</v>
      </c>
      <c r="M7" s="71" t="n">
        <v>0.0025</v>
      </c>
      <c r="N7" s="23" t="inlineStr">
        <is>
          <t>📊权重预警偏离+4.3%</t>
        </is>
      </c>
      <c r="O7" s="72" t="n"/>
    </row>
    <row r="8" customFormat="1" s="10">
      <c r="A8" s="22" t="n">
        <v>511010</v>
      </c>
      <c r="B8" s="22" t="inlineStr">
        <is>
          <t>国泰上证5年期国债ETF</t>
        </is>
      </c>
      <c r="C8" s="63" t="n">
        <v>4000000</v>
      </c>
      <c r="D8" s="64">
        <f>E8*C8</f>
        <v/>
      </c>
      <c r="E8" s="26" t="n">
        <v>0.125</v>
      </c>
      <c r="F8" s="65" t="n">
        <v>0.1406</v>
      </c>
      <c r="G8" s="65" t="n">
        <v>0.0406</v>
      </c>
      <c r="H8" s="69" t="n">
        <v>141.2121</v>
      </c>
      <c r="I8" s="67" t="n">
        <v>3500</v>
      </c>
      <c r="J8" s="68">
        <f>H8*I8</f>
        <v/>
      </c>
      <c r="K8" s="79" t="n">
        <v>141.431</v>
      </c>
      <c r="L8" s="70" t="n">
        <v>766.15</v>
      </c>
      <c r="M8" s="71" t="n">
        <v>0.0016</v>
      </c>
      <c r="N8" s="23" t="inlineStr">
        <is>
          <t>📊权重预警偏离+4.1%</t>
        </is>
      </c>
      <c r="O8" s="72" t="n"/>
    </row>
    <row r="9" customFormat="1" s="10">
      <c r="A9" s="22" t="n">
        <v>511360</v>
      </c>
      <c r="B9" s="22" t="inlineStr">
        <is>
          <t>海富通中证短融ETF</t>
        </is>
      </c>
      <c r="C9" s="63" t="n">
        <v>4000000</v>
      </c>
      <c r="D9" s="64">
        <f>E9*C9</f>
        <v/>
      </c>
      <c r="E9" s="26" t="n">
        <v>0.0625</v>
      </c>
      <c r="F9" s="65" t="n">
        <v>0.0709</v>
      </c>
      <c r="G9" s="65" t="n">
        <v>0.0209</v>
      </c>
      <c r="H9" s="69" t="n">
        <v>113.462</v>
      </c>
      <c r="I9" s="67" t="n">
        <v>2200</v>
      </c>
      <c r="J9" s="68">
        <f>H9*I9</f>
        <v/>
      </c>
      <c r="K9" s="79" t="n">
        <v>113.557</v>
      </c>
      <c r="L9" s="70" t="n">
        <v>209</v>
      </c>
      <c r="M9" s="71" t="n">
        <v>0.0008</v>
      </c>
      <c r="N9" s="23" t="n"/>
      <c r="O9" s="72" t="n"/>
    </row>
    <row r="10" customFormat="1" s="10">
      <c r="A10" s="36" t="n">
        <v>518880</v>
      </c>
      <c r="B10" s="36" t="inlineStr">
        <is>
          <t>华安黄金ETF</t>
        </is>
      </c>
      <c r="C10" s="73" t="n">
        <v>4000000</v>
      </c>
      <c r="D10" s="74">
        <f>E10*C10</f>
        <v/>
      </c>
      <c r="E10" s="39" t="n">
        <v>0.1875</v>
      </c>
      <c r="F10" s="75" t="n">
        <v>0.1411</v>
      </c>
      <c r="G10" s="75" t="n">
        <v>-0.0089</v>
      </c>
      <c r="H10" s="81" t="n">
        <v>9.232699999999999</v>
      </c>
      <c r="I10" s="77" t="n">
        <v>55800</v>
      </c>
      <c r="J10" s="78">
        <f>H10*I10</f>
        <v/>
      </c>
      <c r="K10" s="79" t="n">
        <v>8.907999999999999</v>
      </c>
      <c r="L10" s="80" t="n">
        <v>-18118.26</v>
      </c>
      <c r="M10" s="62" t="n">
        <v>-0.0352</v>
      </c>
      <c r="N10" s="4" t="n"/>
      <c r="O10" s="72">
        <f>D10-J10</f>
        <v/>
      </c>
    </row>
    <row r="11">
      <c r="A11" s="4" t="inlineStr"/>
      <c r="B11" s="4" t="inlineStr"/>
      <c r="C11" s="4" t="inlineStr"/>
      <c r="D11" s="78">
        <f>SUM(D2:D10)</f>
        <v/>
      </c>
      <c r="E11" s="39" t="n"/>
      <c r="F11" s="39" t="n"/>
      <c r="G11" s="4" t="inlineStr"/>
      <c r="H11" s="76" t="inlineStr"/>
      <c r="I11" s="77" t="inlineStr"/>
      <c r="J11" s="78">
        <f>SUM(J2:J10)</f>
        <v/>
      </c>
      <c r="K11" s="4" t="n"/>
      <c r="L11" s="78">
        <f>SUM(L2:L10)</f>
        <v/>
      </c>
      <c r="M11" s="62">
        <f>L11/J11</f>
        <v/>
      </c>
      <c r="N11" s="4" t="inlineStr"/>
      <c r="O11" s="78">
        <f>D11-J11</f>
        <v/>
      </c>
    </row>
    <row r="14">
      <c r="J14" s="82" t="n"/>
    </row>
    <row r="18">
      <c r="J18" s="8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F25" sqref="F25"/>
    </sheetView>
  </sheetViews>
  <sheetFormatPr baseColWidth="8" defaultColWidth="9" defaultRowHeight="14.4"/>
  <cols>
    <col width="20.8148148148148" customWidth="1" style="83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5"/>
    <col width="16.4444444444444" customWidth="1" style="1" min="6" max="6"/>
  </cols>
  <sheetData>
    <row r="1">
      <c r="A1" s="84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84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85" t="n">
        <v>113.462</v>
      </c>
      <c r="E2" s="77" t="n">
        <v>2200</v>
      </c>
      <c r="F2" s="78" t="n">
        <v>249616.4</v>
      </c>
    </row>
    <row r="3">
      <c r="A3" s="84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85" t="n">
        <v>9.497999999999999</v>
      </c>
      <c r="E3" s="77" t="n">
        <v>15800</v>
      </c>
      <c r="F3" s="78" t="n">
        <v>150068.4</v>
      </c>
    </row>
    <row r="4">
      <c r="A4" s="84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85" t="n">
        <v>141.253</v>
      </c>
      <c r="E4" s="77" t="n">
        <v>800</v>
      </c>
      <c r="F4" s="78" t="n">
        <v>113002.4</v>
      </c>
    </row>
    <row r="5">
      <c r="A5" s="84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85" t="n">
        <v>135.645</v>
      </c>
      <c r="E5" s="77" t="n">
        <v>3700</v>
      </c>
      <c r="F5" s="78" t="n">
        <v>501886.5</v>
      </c>
    </row>
    <row r="6">
      <c r="A6" s="84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85" t="n">
        <v>4.942</v>
      </c>
      <c r="E6" s="77" t="n">
        <v>70000</v>
      </c>
      <c r="F6" s="78" t="n">
        <v>345940</v>
      </c>
    </row>
    <row r="7">
      <c r="A7" s="84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85" t="n">
        <v>3.968</v>
      </c>
      <c r="E7" s="77" t="n">
        <v>63000</v>
      </c>
      <c r="F7" s="78" t="n">
        <v>249984</v>
      </c>
    </row>
    <row r="8">
      <c r="A8" s="84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85" t="n">
        <v>8.696</v>
      </c>
      <c r="E8" s="77" t="n">
        <v>4000</v>
      </c>
      <c r="F8" s="78" t="n">
        <v>34784</v>
      </c>
    </row>
    <row r="9">
      <c r="A9" s="84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85" t="n">
        <v>8.696</v>
      </c>
      <c r="E9" s="77" t="n">
        <v>16000</v>
      </c>
      <c r="F9" s="78" t="n">
        <v>139136</v>
      </c>
    </row>
    <row r="10">
      <c r="A10" s="84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85" t="n">
        <v>4.865</v>
      </c>
      <c r="E10" s="77" t="n">
        <v>40000</v>
      </c>
      <c r="F10" s="78" t="n">
        <v>194600</v>
      </c>
    </row>
    <row r="11">
      <c r="A11" s="84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85" t="n">
        <v>1.838</v>
      </c>
      <c r="E11" s="77" t="n">
        <v>60000</v>
      </c>
      <c r="F11" s="78" t="n">
        <v>110280</v>
      </c>
    </row>
    <row r="12">
      <c r="A12" s="84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85" t="n">
        <v>141.2</v>
      </c>
      <c r="E12" s="77" t="n">
        <v>2700</v>
      </c>
      <c r="F12" s="78" t="n">
        <v>381240</v>
      </c>
    </row>
    <row r="13">
      <c r="A13" s="86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85" t="n">
        <v>1.15</v>
      </c>
      <c r="E13" s="77" t="n">
        <v>218000</v>
      </c>
      <c r="F13" s="78" t="n">
        <v>250700</v>
      </c>
    </row>
    <row r="14">
      <c r="A14" s="86" t="inlineStr">
        <is>
          <t>2026-05-26</t>
        </is>
      </c>
      <c r="B14" s="5" t="n">
        <v>518880</v>
      </c>
      <c r="C14" s="4" t="inlineStr">
        <is>
          <t>华安黄金ETF</t>
        </is>
      </c>
      <c r="D14" s="85" t="n">
        <v>9.455</v>
      </c>
      <c r="E14" s="77" t="n">
        <v>8000</v>
      </c>
      <c r="F14" s="78" t="n">
        <v>75640</v>
      </c>
    </row>
    <row r="15">
      <c r="A15" s="84" t="inlineStr">
        <is>
          <t>2026-05-27</t>
        </is>
      </c>
      <c r="B15" s="5" t="n">
        <v>518880</v>
      </c>
      <c r="C15" s="4" t="inlineStr">
        <is>
          <t>华安黄金ETF</t>
        </is>
      </c>
      <c r="D15" s="85" t="n">
        <v>9.385</v>
      </c>
      <c r="E15" s="77" t="n">
        <v>8000</v>
      </c>
      <c r="F15" s="78" t="n">
        <v>75080</v>
      </c>
    </row>
    <row r="16">
      <c r="A16" s="84" t="inlineStr">
        <is>
          <t>2026-05-28</t>
        </is>
      </c>
      <c r="B16" s="5" t="n">
        <v>518880</v>
      </c>
      <c r="C16" s="4" t="inlineStr">
        <is>
          <t>华安黄金ETF</t>
        </is>
      </c>
      <c r="D16" s="85" t="n">
        <v>9.15</v>
      </c>
      <c r="E16" s="77" t="n">
        <v>8000</v>
      </c>
      <c r="F16" s="78" t="n">
        <v>73200</v>
      </c>
    </row>
    <row r="17">
      <c r="A17" s="84" t="inlineStr">
        <is>
          <t>2026-05-28</t>
        </is>
      </c>
      <c r="B17" s="5" t="n">
        <v>511990</v>
      </c>
      <c r="C17" s="4" t="inlineStr">
        <is>
          <t>华宝添益ETF</t>
        </is>
      </c>
      <c r="D17" s="85" t="n">
        <v>99.997</v>
      </c>
      <c r="E17" s="77" t="n">
        <v>2500</v>
      </c>
      <c r="F17" s="78" t="n">
        <v>249992.5</v>
      </c>
    </row>
    <row r="18">
      <c r="A18" s="84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85" t="n">
        <v>13.95</v>
      </c>
      <c r="E18" s="77" t="n">
        <v>7200</v>
      </c>
      <c r="F18" s="78" t="n">
        <v>100440</v>
      </c>
    </row>
    <row r="19">
      <c r="A19" s="84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85" t="n">
        <v>100.005</v>
      </c>
      <c r="E19" s="77" t="n">
        <v>-2500</v>
      </c>
      <c r="F19" s="78" t="n">
        <v>-250012.5</v>
      </c>
    </row>
    <row r="20">
      <c r="A20" s="84" t="inlineStr">
        <is>
          <t>2026-06-05</t>
        </is>
      </c>
      <c r="B20" s="5" t="n">
        <v>510300</v>
      </c>
      <c r="C20" s="4" t="inlineStr">
        <is>
          <t>沪深300ETF</t>
        </is>
      </c>
      <c r="D20" s="85" t="n">
        <v>4.85</v>
      </c>
      <c r="E20" s="77" t="n">
        <v>20000</v>
      </c>
      <c r="F20" s="78" t="n">
        <v>97000</v>
      </c>
    </row>
    <row r="21">
      <c r="A21" s="84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85" t="n">
        <v>9</v>
      </c>
      <c r="E21" s="77" t="n">
        <v>8000</v>
      </c>
      <c r="F21" s="78" t="n">
        <v>72000</v>
      </c>
    </row>
    <row r="22">
      <c r="A22" s="84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85" t="n">
        <v>4.78</v>
      </c>
      <c r="E22" s="77" t="n">
        <v>23800</v>
      </c>
      <c r="F22" s="78" t="n">
        <v>113764</v>
      </c>
    </row>
    <row r="23">
      <c r="A23" s="84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85" t="n">
        <v>13.78</v>
      </c>
      <c r="E23" s="77" t="n">
        <v>7300</v>
      </c>
      <c r="F23" s="78" t="n">
        <v>100594</v>
      </c>
    </row>
    <row r="24">
      <c r="A24" s="84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85" t="n">
        <v>8.65</v>
      </c>
      <c r="E24" s="77" t="n">
        <v>8000</v>
      </c>
      <c r="F24" s="78" t="n">
        <v>69200</v>
      </c>
    </row>
    <row r="25">
      <c r="A25" s="84" t="inlineStr">
        <is>
          <t>2026-06-22</t>
        </is>
      </c>
      <c r="B25" s="5" t="n">
        <v>510500</v>
      </c>
      <c r="C25" s="4" t="inlineStr">
        <is>
          <t>中证500ETF</t>
        </is>
      </c>
      <c r="D25" s="85" t="n">
        <v>8.776999999999999</v>
      </c>
      <c r="E25" s="77" t="n">
        <v>-20000</v>
      </c>
      <c r="F25" s="78">
        <f>D25*E25</f>
        <v/>
      </c>
    </row>
  </sheetData>
  <autoFilter ref="A1:F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9"/>
  <sheetViews>
    <sheetView topLeftCell="A181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  <row r="140">
      <c r="A140" s="0" t="inlineStr">
        <is>
          <t>20260609</t>
        </is>
      </c>
      <c r="B140" s="0" t="inlineStr">
        <is>
          <t>沪深300ETF</t>
        </is>
      </c>
      <c r="C140" s="0" t="inlineStr">
        <is>
          <t>510300</t>
        </is>
      </c>
      <c r="H140" s="0" t="n">
        <v>4.826</v>
      </c>
      <c r="I140" s="0" t="n">
        <v>-9074.200000000001</v>
      </c>
      <c r="J140" s="0" t="n">
        <v>-0.0121</v>
      </c>
      <c r="N140" s="0" t="inlineStr">
        <is>
          <t>🟠再平衡触发线：偏离+7.6% &gt;= ±7%，强制调仓</t>
        </is>
      </c>
    </row>
    <row r="141">
      <c r="A141" s="0" t="inlineStr">
        <is>
          <t>20260609</t>
        </is>
      </c>
      <c r="B141" s="0" t="inlineStr">
        <is>
          <t>中证500ETF</t>
        </is>
      </c>
      <c r="C141" s="0" t="inlineStr">
        <is>
          <t>510500</t>
        </is>
      </c>
      <c r="H141" s="0" t="n">
        <v>8.27</v>
      </c>
      <c r="I141" s="0" t="n">
        <v>-8520</v>
      </c>
      <c r="J141" s="0" t="n">
        <v>-0.049</v>
      </c>
      <c r="N141" s="0" t="inlineStr">
        <is>
          <t>📊权重预警偏离-5.0%</t>
        </is>
      </c>
    </row>
    <row r="142">
      <c r="A142" s="0" t="inlineStr">
        <is>
          <t>20260609</t>
        </is>
      </c>
      <c r="B142" s="0" t="inlineStr">
        <is>
          <t>科创50ETF</t>
        </is>
      </c>
      <c r="C142" s="0" t="inlineStr">
        <is>
          <t>588050</t>
        </is>
      </c>
      <c r="H142" s="0" t="n">
        <v>1.706</v>
      </c>
      <c r="I142" s="0" t="n">
        <v>-7920</v>
      </c>
      <c r="J142" s="0" t="n">
        <v>-0.0718</v>
      </c>
      <c r="N142" s="0" t="inlineStr">
        <is>
          <t>⚡预警：浮亏-7.2% &gt;= -5%，暂停新增买入</t>
        </is>
      </c>
    </row>
    <row r="143">
      <c r="A143" s="0" t="inlineStr">
        <is>
          <t>20260609</t>
        </is>
      </c>
      <c r="B143" s="0" t="inlineStr">
        <is>
          <t>创业板ETF</t>
        </is>
      </c>
      <c r="C143" s="0" t="inlineStr">
        <is>
          <t>159915</t>
        </is>
      </c>
      <c r="H143" s="0" t="n">
        <v>3.972</v>
      </c>
      <c r="I143" s="0" t="n">
        <v>252</v>
      </c>
      <c r="J143" s="0" t="n">
        <v>0.001</v>
      </c>
      <c r="N143" s="0" t="inlineStr">
        <is>
          <t>—</t>
        </is>
      </c>
    </row>
    <row r="144">
      <c r="A144" s="0" t="inlineStr">
        <is>
          <t>20260609</t>
        </is>
      </c>
      <c r="B144" s="0" t="inlineStr">
        <is>
          <t>红利低波ETF</t>
        </is>
      </c>
      <c r="C144" s="0" t="inlineStr">
        <is>
          <t>512890</t>
        </is>
      </c>
      <c r="H144" s="0" t="n">
        <v>1.164</v>
      </c>
      <c r="I144" s="0" t="n">
        <v>3052</v>
      </c>
      <c r="J144" s="0" t="n">
        <v>0.0122</v>
      </c>
      <c r="N144" s="0" t="inlineStr">
        <is>
          <t>—</t>
        </is>
      </c>
    </row>
    <row r="145">
      <c r="A145" s="0" t="inlineStr">
        <is>
          <t>20260609</t>
        </is>
      </c>
      <c r="B145" s="0" t="inlineStr">
        <is>
          <t>可转债ETF</t>
        </is>
      </c>
      <c r="C145" s="0" t="inlineStr">
        <is>
          <t>511380</t>
        </is>
      </c>
      <c r="H145" s="0" t="n">
        <v>13.927</v>
      </c>
      <c r="I145" s="0" t="n">
        <v>-165.6</v>
      </c>
      <c r="J145" s="0" t="n">
        <v>-0.0016</v>
      </c>
      <c r="N145" s="0" t="inlineStr">
        <is>
          <t>📊权重预警偏离-7.0%</t>
        </is>
      </c>
    </row>
    <row r="146">
      <c r="A146" s="0" t="inlineStr">
        <is>
          <t>20260609</t>
        </is>
      </c>
      <c r="B146" s="0" t="inlineStr">
        <is>
          <t>10年国债ETF</t>
        </is>
      </c>
      <c r="C146" s="0" t="inlineStr">
        <is>
          <t>511260</t>
        </is>
      </c>
      <c r="H146" s="0" t="n">
        <v>135.75</v>
      </c>
      <c r="I146" s="0" t="n">
        <v>388.5</v>
      </c>
      <c r="J146" s="0" t="n">
        <v>0.0008</v>
      </c>
      <c r="N146" s="0" t="inlineStr">
        <is>
          <t>📊权重预警偏离+5.3%</t>
        </is>
      </c>
    </row>
    <row r="147">
      <c r="A147" s="0" t="inlineStr">
        <is>
          <t>20260609</t>
        </is>
      </c>
      <c r="B147" s="0" t="inlineStr">
        <is>
          <t>5年国债ETF</t>
        </is>
      </c>
      <c r="C147" s="0" t="inlineStr">
        <is>
          <t>511010</t>
        </is>
      </c>
      <c r="H147" s="0" t="n">
        <v>141.345</v>
      </c>
      <c r="I147" s="0" t="n">
        <v>465.15</v>
      </c>
      <c r="J147" s="0" t="n">
        <v>0.0009</v>
      </c>
      <c r="N147" s="0" t="inlineStr">
        <is>
          <t>📊权重预警偏离+5.0%</t>
        </is>
      </c>
    </row>
    <row r="148">
      <c r="A148" s="0" t="inlineStr">
        <is>
          <t>20260609</t>
        </is>
      </c>
      <c r="B148" s="0" t="inlineStr">
        <is>
          <t>短融ETF</t>
        </is>
      </c>
      <c r="C148" s="0" t="inlineStr">
        <is>
          <t>511360</t>
        </is>
      </c>
      <c r="H148" s="0" t="n">
        <v>113.559</v>
      </c>
      <c r="I148" s="0" t="n">
        <v>213.4</v>
      </c>
      <c r="J148" s="0" t="n">
        <v>0.0009</v>
      </c>
      <c r="N148" s="0" t="inlineStr">
        <is>
          <t>—</t>
        </is>
      </c>
    </row>
    <row r="149">
      <c r="A149" s="0" t="inlineStr">
        <is>
          <t>20260609</t>
        </is>
      </c>
      <c r="B149" s="0" t="inlineStr">
        <is>
          <t>黄金ETF</t>
        </is>
      </c>
      <c r="C149" s="0" t="inlineStr">
        <is>
          <t>518880</t>
        </is>
      </c>
      <c r="H149" s="0" t="n">
        <v>9.005000000000001</v>
      </c>
      <c r="I149" s="0" t="n">
        <v>-15544.56</v>
      </c>
      <c r="J149" s="0" t="n">
        <v>-0.0349</v>
      </c>
      <c r="N149" s="0" t="inlineStr">
        <is>
          <t>—</t>
        </is>
      </c>
    </row>
    <row r="150">
      <c r="A150" s="0" t="inlineStr">
        <is>
          <t>20260609</t>
        </is>
      </c>
      <c r="B150" s="0" t="inlineStr">
        <is>
          <t>银华日利ETF</t>
        </is>
      </c>
      <c r="C150" s="0" t="inlineStr">
        <is>
          <t>511880</t>
        </is>
      </c>
      <c r="H150" s="0" t="n">
        <v>100.514</v>
      </c>
      <c r="I150" s="0" t="n">
        <v>0</v>
      </c>
      <c r="J150" s="0" t="n">
        <v>0</v>
      </c>
      <c r="N150" s="0" t="inlineStr">
        <is>
          <t>📊权重预警偏离-5.0%</t>
        </is>
      </c>
    </row>
    <row r="151">
      <c r="A151" s="0" t="inlineStr">
        <is>
          <t>20260609</t>
        </is>
      </c>
      <c r="B151" s="0" t="inlineStr">
        <is>
          <t>华宝添益ETF</t>
        </is>
      </c>
      <c r="C151" s="0" t="inlineStr">
        <is>
          <t>511990</t>
        </is>
      </c>
      <c r="H151" s="0" t="n">
        <v>100.003</v>
      </c>
      <c r="I151" s="0" t="n">
        <v>0</v>
      </c>
      <c r="J151" s="0" t="n">
        <v>0</v>
      </c>
      <c r="N151" s="0" t="inlineStr">
        <is>
          <t>📊权重预警偏离-5.0%</t>
        </is>
      </c>
    </row>
    <row r="152">
      <c r="A152" s="0" t="inlineStr">
        <is>
          <t>20260610</t>
        </is>
      </c>
      <c r="B152" s="0" t="inlineStr">
        <is>
          <t>华泰柏瑞沪深300ETF</t>
        </is>
      </c>
      <c r="C152" s="0" t="inlineStr">
        <is>
          <t>510300</t>
        </is>
      </c>
      <c r="D152" s="0" t="n">
        <v>153800</v>
      </c>
      <c r="E152" s="0" t="n">
        <v>4.885</v>
      </c>
      <c r="F152" s="0" t="n">
        <v>751313</v>
      </c>
      <c r="G152" s="0" t="n">
        <v>4.784</v>
      </c>
      <c r="H152" s="0" t="inlineStr">
        <is>
          <t>-0.87%</t>
        </is>
      </c>
      <c r="I152" s="0" t="n">
        <v>735779.2</v>
      </c>
      <c r="J152" s="0" t="n">
        <v>-15533.8</v>
      </c>
      <c r="K152" s="0" t="n">
        <v>-0.0207</v>
      </c>
      <c r="L152" s="0" t="n">
        <v>0.15</v>
      </c>
      <c r="M152" s="0" t="n">
        <v>0.2124</v>
      </c>
      <c r="N152" s="0" t="n">
        <v>0.0624</v>
      </c>
      <c r="O152" s="0" t="inlineStr">
        <is>
          <t>📊权重预警偏离+6.2%</t>
        </is>
      </c>
    </row>
    <row r="153">
      <c r="A153" s="0" t="inlineStr">
        <is>
          <t>20260610</t>
        </is>
      </c>
      <c r="B153" s="0" t="inlineStr">
        <is>
          <t>南方中证500ETF</t>
        </is>
      </c>
      <c r="C153" s="0" t="inlineStr">
        <is>
          <t>510500</t>
        </is>
      </c>
      <c r="D153" s="0" t="n">
        <v>20000</v>
      </c>
      <c r="E153" s="0" t="n">
        <v>8.696</v>
      </c>
      <c r="F153" s="0" t="n">
        <v>173920</v>
      </c>
      <c r="G153" s="0" t="n">
        <v>8.170999999999999</v>
      </c>
      <c r="H153" s="0" t="inlineStr">
        <is>
          <t>-1.20%</t>
        </is>
      </c>
      <c r="I153" s="0" t="n">
        <v>163420</v>
      </c>
      <c r="J153" s="0" t="n">
        <v>-10500</v>
      </c>
      <c r="K153" s="0" t="n">
        <v>-0.0604</v>
      </c>
      <c r="L153" s="0" t="n">
        <v>0.1</v>
      </c>
      <c r="M153" s="0" t="n">
        <v>0.0472</v>
      </c>
      <c r="N153" s="0" t="n">
        <v>-0.0528</v>
      </c>
      <c r="O153" s="0" t="inlineStr">
        <is>
          <t>📊权重预警偏离-5.3%</t>
        </is>
      </c>
    </row>
    <row r="154">
      <c r="A154" s="0" t="inlineStr">
        <is>
          <t>20260610</t>
        </is>
      </c>
      <c r="B154" s="0" t="inlineStr">
        <is>
          <t>科创50ETF</t>
        </is>
      </c>
      <c r="C154" s="0" t="inlineStr">
        <is>
          <t>588050</t>
        </is>
      </c>
      <c r="D154" s="0" t="n">
        <v>60000</v>
      </c>
      <c r="E154" s="0" t="n">
        <v>1.838</v>
      </c>
      <c r="F154" s="0" t="n">
        <v>110280</v>
      </c>
      <c r="G154" s="0" t="n">
        <v>1.699</v>
      </c>
      <c r="H154" s="0" t="inlineStr">
        <is>
          <t>-0.41%</t>
        </is>
      </c>
      <c r="I154" s="0" t="n">
        <v>101940</v>
      </c>
      <c r="J154" s="0" t="n">
        <v>-8340</v>
      </c>
      <c r="K154" s="0" t="n">
        <v>-0.0756</v>
      </c>
      <c r="L154" s="0" t="n">
        <v>0.05</v>
      </c>
      <c r="M154" s="0" t="n">
        <v>0.0294</v>
      </c>
      <c r="N154" s="0" t="n">
        <v>-0.0206</v>
      </c>
      <c r="O154" s="0" t="inlineStr">
        <is>
          <t>⚡预警：浮亏-7.6% &gt;= -5%，暂停新增买入</t>
        </is>
      </c>
    </row>
    <row r="155">
      <c r="A155" s="0" t="inlineStr">
        <is>
          <t>20260610</t>
        </is>
      </c>
      <c r="B155" s="0" t="inlineStr">
        <is>
          <t>易方达创业板ETF</t>
        </is>
      </c>
      <c r="C155" s="0" t="inlineStr">
        <is>
          <t>159915</t>
        </is>
      </c>
      <c r="D155" s="0" t="n">
        <v>63000</v>
      </c>
      <c r="E155" s="0" t="n">
        <v>3.968</v>
      </c>
      <c r="F155" s="0" t="n">
        <v>249984</v>
      </c>
      <c r="G155" s="0" t="n">
        <v>3.87</v>
      </c>
      <c r="H155" s="0" t="inlineStr">
        <is>
          <t>-2.57%</t>
        </is>
      </c>
      <c r="I155" s="0" t="n">
        <v>243810</v>
      </c>
      <c r="J155" s="0" t="n">
        <v>-6174</v>
      </c>
      <c r="K155" s="0" t="n">
        <v>-0.0247</v>
      </c>
      <c r="L155" s="0" t="n">
        <v>0.05</v>
      </c>
      <c r="M155" s="0" t="n">
        <v>0.0704</v>
      </c>
      <c r="N155" s="0" t="n">
        <v>0.0204</v>
      </c>
      <c r="O155" s="0" t="inlineStr">
        <is>
          <t>—</t>
        </is>
      </c>
    </row>
    <row r="156">
      <c r="A156" s="0" t="inlineStr">
        <is>
          <t>20260610</t>
        </is>
      </c>
      <c r="B156" s="0" t="inlineStr">
        <is>
          <t>华泰柏瑞红利低波ETF</t>
        </is>
      </c>
      <c r="C156" s="0" t="inlineStr">
        <is>
          <t>512890</t>
        </is>
      </c>
      <c r="D156" s="0" t="n">
        <v>218000</v>
      </c>
      <c r="E156" s="0" t="n">
        <v>1.15</v>
      </c>
      <c r="F156" s="0" t="n">
        <v>250700</v>
      </c>
      <c r="G156" s="0" t="n">
        <v>1.172</v>
      </c>
      <c r="H156" s="0" t="inlineStr">
        <is>
          <t>+0.69%</t>
        </is>
      </c>
      <c r="I156" s="0" t="n">
        <v>255496</v>
      </c>
      <c r="J156" s="0" t="n">
        <v>4796</v>
      </c>
      <c r="K156" s="0" t="n">
        <v>0.0191</v>
      </c>
      <c r="L156" s="0" t="n">
        <v>0.05</v>
      </c>
      <c r="M156" s="0" t="n">
        <v>0.0737</v>
      </c>
      <c r="N156" s="0" t="n">
        <v>0.0237</v>
      </c>
      <c r="O156" s="0" t="inlineStr">
        <is>
          <t>—</t>
        </is>
      </c>
    </row>
    <row r="157">
      <c r="A157" s="0" t="inlineStr">
        <is>
          <t>20260610</t>
        </is>
      </c>
      <c r="B157" s="0" t="inlineStr">
        <is>
          <t>可转债ETF</t>
        </is>
      </c>
      <c r="C157" s="0" t="inlineStr">
        <is>
          <t>511380</t>
        </is>
      </c>
      <c r="D157" s="0" t="n">
        <v>14500</v>
      </c>
      <c r="E157" s="0" t="n">
        <v>13.8644</v>
      </c>
      <c r="F157" s="0" t="n">
        <v>201034</v>
      </c>
      <c r="G157" s="0" t="n">
        <v>13.77</v>
      </c>
      <c r="H157" s="0" t="inlineStr">
        <is>
          <t>-1.13%</t>
        </is>
      </c>
      <c r="I157" s="0" t="n">
        <v>199665</v>
      </c>
      <c r="J157" s="0" t="n">
        <v>-1368.8</v>
      </c>
      <c r="K157" s="0" t="n">
        <v>-0.0068</v>
      </c>
      <c r="L157" s="0" t="n">
        <v>0.1</v>
      </c>
      <c r="M157" s="0" t="n">
        <v>0.0594</v>
      </c>
      <c r="N157" s="0" t="n">
        <v>-0.0406</v>
      </c>
      <c r="O157" s="0" t="inlineStr">
        <is>
          <t>📊权重预警偏离-4.1%</t>
        </is>
      </c>
    </row>
    <row r="158">
      <c r="A158" s="0" t="inlineStr">
        <is>
          <t>20260610</t>
        </is>
      </c>
      <c r="B158" s="0" t="inlineStr">
        <is>
          <t>国泰上证10年期国债ETF</t>
        </is>
      </c>
      <c r="C158" s="0" t="inlineStr">
        <is>
          <t>511260</t>
        </is>
      </c>
      <c r="D158" s="0" t="n">
        <v>3700</v>
      </c>
      <c r="E158" s="0" t="n">
        <v>135.645</v>
      </c>
      <c r="F158" s="0" t="n">
        <v>501886.5</v>
      </c>
      <c r="G158" s="0" t="n">
        <v>135.653</v>
      </c>
      <c r="H158" s="0" t="inlineStr">
        <is>
          <t>-0.07%</t>
        </is>
      </c>
      <c r="I158" s="0" t="n">
        <v>501916.1</v>
      </c>
      <c r="J158" s="0" t="n">
        <v>29.6</v>
      </c>
      <c r="K158" s="0" t="n">
        <v>0.0001</v>
      </c>
      <c r="L158" s="0" t="n">
        <v>0.1</v>
      </c>
      <c r="M158" s="0" t="n">
        <v>0.1449</v>
      </c>
      <c r="N158" s="0" t="n">
        <v>0.0449</v>
      </c>
      <c r="O158" s="0" t="inlineStr">
        <is>
          <t>📊权重预警偏离+4.5%</t>
        </is>
      </c>
    </row>
    <row r="159">
      <c r="A159" s="0" t="inlineStr">
        <is>
          <t>20260610</t>
        </is>
      </c>
      <c r="B159" s="0" t="inlineStr">
        <is>
          <t>国泰上证5年期国债ETF</t>
        </is>
      </c>
      <c r="C159" s="0" t="inlineStr">
        <is>
          <t>511010</t>
        </is>
      </c>
      <c r="D159" s="0" t="n">
        <v>3500</v>
      </c>
      <c r="E159" s="0" t="n">
        <v>141.2121</v>
      </c>
      <c r="F159" s="0" t="n">
        <v>494242.35</v>
      </c>
      <c r="G159" s="0" t="n">
        <v>141.278</v>
      </c>
      <c r="H159" s="0" t="inlineStr">
        <is>
          <t>-0.05%</t>
        </is>
      </c>
      <c r="I159" s="0" t="n">
        <v>494473</v>
      </c>
      <c r="J159" s="0" t="n">
        <v>230.65</v>
      </c>
      <c r="K159" s="0" t="n">
        <v>0.0005</v>
      </c>
      <c r="L159" s="0" t="n">
        <v>0.1</v>
      </c>
      <c r="M159" s="0" t="n">
        <v>0.1427</v>
      </c>
      <c r="N159" s="0" t="n">
        <v>0.0427</v>
      </c>
      <c r="O159" s="0" t="inlineStr">
        <is>
          <t>📊权重预警偏离+4.3%</t>
        </is>
      </c>
    </row>
    <row r="160">
      <c r="A160" s="0" t="inlineStr">
        <is>
          <t>20260610</t>
        </is>
      </c>
      <c r="B160" s="0" t="inlineStr">
        <is>
          <t>海富通中证短融ETF</t>
        </is>
      </c>
      <c r="C160" s="0" t="inlineStr">
        <is>
          <t>511360</t>
        </is>
      </c>
      <c r="D160" s="0" t="n">
        <v>2200</v>
      </c>
      <c r="E160" s="0" t="n">
        <v>113.462</v>
      </c>
      <c r="F160" s="0" t="n">
        <v>249616.4</v>
      </c>
      <c r="G160" s="0" t="n">
        <v>113.56</v>
      </c>
      <c r="H160" s="0" t="inlineStr">
        <is>
          <t>+0.00%</t>
        </is>
      </c>
      <c r="I160" s="0" t="n">
        <v>249832</v>
      </c>
      <c r="J160" s="0" t="n">
        <v>215.6</v>
      </c>
      <c r="K160" s="0" t="n">
        <v>0.0009</v>
      </c>
      <c r="L160" s="0" t="n">
        <v>0.05</v>
      </c>
      <c r="M160" s="0" t="n">
        <v>0.0721</v>
      </c>
      <c r="N160" s="0" t="n">
        <v>0.0221</v>
      </c>
      <c r="O160" s="0" t="inlineStr">
        <is>
          <t>—</t>
        </is>
      </c>
    </row>
    <row r="161">
      <c r="A161" s="0" t="inlineStr">
        <is>
          <t>20260610</t>
        </is>
      </c>
      <c r="B161" s="0" t="inlineStr">
        <is>
          <t>华安黄金ETF</t>
        </is>
      </c>
      <c r="C161" s="0" t="inlineStr">
        <is>
          <t>518880</t>
        </is>
      </c>
      <c r="D161" s="0" t="n">
        <v>47800</v>
      </c>
      <c r="E161" s="0" t="n">
        <v>9.3302</v>
      </c>
      <c r="F161" s="0" t="n">
        <v>445983.56</v>
      </c>
      <c r="G161" s="0" t="n">
        <v>8.736000000000001</v>
      </c>
      <c r="H161" s="0" t="inlineStr">
        <is>
          <t>-2.99%</t>
        </is>
      </c>
      <c r="I161" s="0" t="n">
        <v>417580.8</v>
      </c>
      <c r="J161" s="0" t="n">
        <v>-28402.76</v>
      </c>
      <c r="K161" s="0" t="n">
        <v>-0.06370000000000001</v>
      </c>
      <c r="L161" s="0" t="n">
        <v>0.15</v>
      </c>
      <c r="M161" s="0" t="n">
        <v>0.1205</v>
      </c>
      <c r="N161" s="0" t="n">
        <v>-0.0295</v>
      </c>
      <c r="O161" s="0" t="inlineStr">
        <is>
          <t>—</t>
        </is>
      </c>
    </row>
    <row r="162">
      <c r="A162" s="0" t="inlineStr">
        <is>
          <t>20260610</t>
        </is>
      </c>
      <c r="B162" s="0" t="inlineStr">
        <is>
          <t>银华日利ETF</t>
        </is>
      </c>
      <c r="C162" s="0" t="inlineStr">
        <is>
          <t>511880</t>
        </is>
      </c>
      <c r="D162" s="0" t="n">
        <v>0</v>
      </c>
      <c r="E162" s="0" t="n">
        <v>0</v>
      </c>
      <c r="F162" s="0" t="n">
        <v>0</v>
      </c>
      <c r="G162" s="0" t="n">
        <v>100.517</v>
      </c>
      <c r="H162" s="0" t="inlineStr">
        <is>
          <t>+0.00%</t>
        </is>
      </c>
      <c r="I162" s="0" t="n">
        <v>0</v>
      </c>
      <c r="J162" s="0" t="n">
        <v>0</v>
      </c>
      <c r="K162" s="0" t="n">
        <v>0</v>
      </c>
      <c r="L162" s="0" t="n">
        <v>0.05</v>
      </c>
      <c r="M162" s="0" t="n">
        <v>0</v>
      </c>
      <c r="N162" s="0" t="n">
        <v>-0.05</v>
      </c>
      <c r="O162" s="0" t="inlineStr">
        <is>
          <t>📊权重预警偏离-5.0%</t>
        </is>
      </c>
    </row>
    <row r="163">
      <c r="A163" s="0" t="inlineStr">
        <is>
          <t>20260610</t>
        </is>
      </c>
      <c r="B163" s="0" t="inlineStr">
        <is>
          <t>华宝添益ETF</t>
        </is>
      </c>
      <c r="C163" s="0" t="inlineStr">
        <is>
          <t>511990</t>
        </is>
      </c>
      <c r="D163" s="0" t="n">
        <v>0</v>
      </c>
      <c r="E163" s="0" t="n">
        <v>0</v>
      </c>
      <c r="F163" s="0" t="n">
        <v>0</v>
      </c>
      <c r="G163" s="0" t="n">
        <v>100.002</v>
      </c>
      <c r="H163" s="0" t="inlineStr">
        <is>
          <t>+0.00%</t>
        </is>
      </c>
      <c r="I163" s="0" t="n">
        <v>0</v>
      </c>
      <c r="J163" s="0" t="n">
        <v>0</v>
      </c>
      <c r="K163" s="0" t="n">
        <v>0</v>
      </c>
      <c r="L163" s="0" t="n">
        <v>0.05</v>
      </c>
      <c r="M163" s="0" t="n">
        <v>0</v>
      </c>
      <c r="N163" s="0" t="n">
        <v>-0.05</v>
      </c>
      <c r="O163" s="0" t="inlineStr">
        <is>
          <t>📊权重预警偏离-5.0%</t>
        </is>
      </c>
    </row>
    <row r="164">
      <c r="A164" s="0" t="inlineStr">
        <is>
          <t>20260611</t>
        </is>
      </c>
      <c r="B164" s="0" t="inlineStr">
        <is>
          <t>沪深300ETF</t>
        </is>
      </c>
      <c r="C164" s="0" t="inlineStr">
        <is>
          <t>510300</t>
        </is>
      </c>
      <c r="D164" s="0" t="n">
        <v>153800</v>
      </c>
      <c r="E164" s="0" t="n">
        <v>4.885</v>
      </c>
      <c r="F164" s="0" t="n">
        <v>751313</v>
      </c>
      <c r="G164" s="0" t="n">
        <v>4.751</v>
      </c>
      <c r="H164" s="0" t="inlineStr">
        <is>
          <t>-0.69%</t>
        </is>
      </c>
      <c r="I164" s="0" t="n">
        <v>730703.8</v>
      </c>
      <c r="J164" s="0" t="n">
        <v>-20609.2</v>
      </c>
      <c r="K164" s="0" t="n">
        <v>-0.0274</v>
      </c>
      <c r="L164" s="0" t="n">
        <v>0.15</v>
      </c>
      <c r="M164" s="0" t="n">
        <v>0.2186</v>
      </c>
      <c r="N164" s="0" t="n">
        <v>0.06859999999999999</v>
      </c>
      <c r="O164" s="0" t="inlineStr">
        <is>
          <t>📊权重预警偏离+6.9%</t>
        </is>
      </c>
    </row>
    <row r="165">
      <c r="A165" s="0" t="inlineStr">
        <is>
          <t>20260611</t>
        </is>
      </c>
      <c r="B165" s="0" t="inlineStr">
        <is>
          <t>中证500ETF</t>
        </is>
      </c>
      <c r="C165" s="0" t="inlineStr">
        <is>
          <t>510500</t>
        </is>
      </c>
      <c r="D165" s="0" t="n">
        <v>20000</v>
      </c>
      <c r="E165" s="0" t="n">
        <v>8.696</v>
      </c>
      <c r="F165" s="0" t="n">
        <v>173920</v>
      </c>
      <c r="G165" s="0" t="n">
        <v>8.132999999999999</v>
      </c>
      <c r="H165" s="0" t="inlineStr">
        <is>
          <t>-0.47%</t>
        </is>
      </c>
      <c r="I165" s="0" t="n">
        <v>162660</v>
      </c>
      <c r="J165" s="0" t="n">
        <v>-11260</v>
      </c>
      <c r="K165" s="0" t="n">
        <v>-0.06469999999999999</v>
      </c>
      <c r="L165" s="0" t="n">
        <v>0.1</v>
      </c>
      <c r="M165" s="0" t="n">
        <v>0.0487</v>
      </c>
      <c r="N165" s="0" t="n">
        <v>-0.0513</v>
      </c>
      <c r="O165" s="0" t="inlineStr">
        <is>
          <t>📊权重预警偏离-5.1%</t>
        </is>
      </c>
    </row>
    <row r="166">
      <c r="A166" s="0" t="inlineStr">
        <is>
          <t>20260611</t>
        </is>
      </c>
      <c r="B166" s="0" t="inlineStr">
        <is>
          <t>科创50ETF</t>
        </is>
      </c>
      <c r="C166" s="0" t="inlineStr">
        <is>
          <t>588050</t>
        </is>
      </c>
      <c r="D166" s="0" t="n">
        <v>60000</v>
      </c>
      <c r="E166" s="0" t="n">
        <v>1.838</v>
      </c>
      <c r="F166" s="0" t="n">
        <v>110280</v>
      </c>
      <c r="G166" s="0" t="n">
        <v>1.71</v>
      </c>
      <c r="H166" s="0" t="inlineStr">
        <is>
          <t>+0.65%</t>
        </is>
      </c>
      <c r="I166" s="0" t="n">
        <v>102600</v>
      </c>
      <c r="J166" s="0" t="n">
        <v>-7680</v>
      </c>
      <c r="K166" s="0" t="n">
        <v>-0.0696</v>
      </c>
      <c r="L166" s="0" t="n">
        <v>0.05</v>
      </c>
      <c r="M166" s="0" t="n">
        <v>0.0307</v>
      </c>
      <c r="N166" s="0" t="n">
        <v>-0.0193</v>
      </c>
      <c r="O166" s="0" t="inlineStr">
        <is>
          <t>⚡预警：浮亏-7.0% &gt;= -5%，暂停新增买入</t>
        </is>
      </c>
    </row>
    <row r="167">
      <c r="A167" s="0" t="inlineStr">
        <is>
          <t>20260611</t>
        </is>
      </c>
      <c r="B167" s="0" t="inlineStr">
        <is>
          <t>创业板ETF</t>
        </is>
      </c>
      <c r="C167" s="0" t="inlineStr">
        <is>
          <t>159915</t>
        </is>
      </c>
      <c r="D167" s="0" t="n">
        <v>63000</v>
      </c>
      <c r="E167" s="0" t="n">
        <v>3.968</v>
      </c>
      <c r="F167" s="0" t="n">
        <v>249984</v>
      </c>
      <c r="G167" s="0" t="n">
        <v>3.83</v>
      </c>
      <c r="H167" s="0" t="inlineStr">
        <is>
          <t>-1.03%</t>
        </is>
      </c>
      <c r="I167" s="0" t="n">
        <v>241290</v>
      </c>
      <c r="J167" s="0" t="n">
        <v>-8694</v>
      </c>
      <c r="K167" s="0" t="n">
        <v>-0.0348</v>
      </c>
      <c r="L167" s="0" t="n">
        <v>0.05</v>
      </c>
      <c r="M167" s="0" t="n">
        <v>0.0722</v>
      </c>
      <c r="N167" s="0" t="n">
        <v>0.0222</v>
      </c>
      <c r="O167" s="0" t="inlineStr">
        <is>
          <t>—</t>
        </is>
      </c>
    </row>
    <row r="168">
      <c r="A168" s="0" t="inlineStr">
        <is>
          <t>20260611</t>
        </is>
      </c>
      <c r="B168" s="0" t="inlineStr">
        <is>
          <t>红利低波ETF</t>
        </is>
      </c>
      <c r="C168" s="0" t="inlineStr">
        <is>
          <t>512890</t>
        </is>
      </c>
      <c r="D168" s="0" t="n">
        <v>218000</v>
      </c>
      <c r="E168" s="0" t="n">
        <v>1.15</v>
      </c>
      <c r="F168" s="0" t="n">
        <v>250700</v>
      </c>
      <c r="G168" s="0" t="n">
        <v>1.162</v>
      </c>
      <c r="H168" s="0" t="inlineStr">
        <is>
          <t>-0.85%</t>
        </is>
      </c>
      <c r="I168" s="0" t="n">
        <v>253316</v>
      </c>
      <c r="J168" s="0" t="n">
        <v>2616</v>
      </c>
      <c r="K168" s="0" t="n">
        <v>0.0104</v>
      </c>
      <c r="L168" s="0" t="n">
        <v>0.05</v>
      </c>
      <c r="M168" s="0" t="n">
        <v>0.07580000000000001</v>
      </c>
      <c r="N168" s="0" t="n">
        <v>0.0258</v>
      </c>
      <c r="O168" s="0" t="inlineStr">
        <is>
          <t>—</t>
        </is>
      </c>
    </row>
    <row r="169">
      <c r="A169" s="0" t="inlineStr">
        <is>
          <t>20260611</t>
        </is>
      </c>
      <c r="B169" s="0" t="inlineStr">
        <is>
          <t>可转债ETF</t>
        </is>
      </c>
      <c r="C169" s="0" t="inlineStr">
        <is>
          <t>511380</t>
        </is>
      </c>
      <c r="D169" s="0" t="n">
        <v>14500</v>
      </c>
      <c r="E169" s="0" t="n">
        <v>13.8644</v>
      </c>
      <c r="F169" s="0" t="n">
        <v>201033.8</v>
      </c>
      <c r="G169" s="0" t="n">
        <v>13.814</v>
      </c>
      <c r="H169" s="0" t="inlineStr">
        <is>
          <t>+0.32%</t>
        </is>
      </c>
      <c r="I169" s="0" t="n">
        <v>200303</v>
      </c>
      <c r="J169" s="0" t="n">
        <v>-730.8</v>
      </c>
      <c r="K169" s="0" t="n">
        <v>-0.0036</v>
      </c>
      <c r="L169" s="0" t="n">
        <v>0.1</v>
      </c>
      <c r="M169" s="0" t="n">
        <v>0.0599</v>
      </c>
      <c r="N169" s="0" t="n">
        <v>-0.0401</v>
      </c>
      <c r="O169" s="0" t="inlineStr">
        <is>
          <t>📊权重预警偏离-4.0%</t>
        </is>
      </c>
    </row>
    <row r="170">
      <c r="A170" s="0" t="inlineStr">
        <is>
          <t>20260611</t>
        </is>
      </c>
      <c r="B170" s="0" t="inlineStr">
        <is>
          <t>10年国债ETF</t>
        </is>
      </c>
      <c r="C170" s="0" t="inlineStr">
        <is>
          <t>511260</t>
        </is>
      </c>
      <c r="D170" s="0" t="n">
        <v>3700</v>
      </c>
      <c r="E170" s="0" t="n">
        <v>135.645</v>
      </c>
      <c r="F170" s="0" t="n">
        <v>501886.5</v>
      </c>
      <c r="G170" s="0" t="n">
        <v>135.511</v>
      </c>
      <c r="H170" s="0" t="inlineStr">
        <is>
          <t>-0.11%</t>
        </is>
      </c>
      <c r="I170" s="0" t="n">
        <v>501390.7</v>
      </c>
      <c r="J170" s="0" t="n">
        <v>-495.8</v>
      </c>
      <c r="K170" s="0" t="n">
        <v>-0.001</v>
      </c>
      <c r="L170" s="0" t="n">
        <v>0.1</v>
      </c>
      <c r="M170" s="0" t="n">
        <v>0.15</v>
      </c>
      <c r="N170" s="0" t="n">
        <v>0.05</v>
      </c>
      <c r="O170" s="0" t="inlineStr">
        <is>
          <t>📊权重预警偏离+5.0%</t>
        </is>
      </c>
    </row>
    <row r="171">
      <c r="A171" s="0" t="inlineStr">
        <is>
          <t>20260611</t>
        </is>
      </c>
      <c r="B171" s="0" t="inlineStr">
        <is>
          <t>5年国债ETF</t>
        </is>
      </c>
      <c r="C171" s="0" t="inlineStr">
        <is>
          <t>511010</t>
        </is>
      </c>
      <c r="D171" s="0" t="n">
        <v>3500</v>
      </c>
      <c r="E171" s="0" t="n">
        <v>141.2121</v>
      </c>
      <c r="F171" s="0" t="n">
        <v>494242.35</v>
      </c>
      <c r="G171" s="0" t="n">
        <v>141.138</v>
      </c>
      <c r="H171" s="0" t="inlineStr">
        <is>
          <t>-0.10%</t>
        </is>
      </c>
      <c r="I171" s="0" t="n">
        <v>493983</v>
      </c>
      <c r="J171" s="0" t="n">
        <v>-259.35</v>
      </c>
      <c r="K171" s="0" t="n">
        <v>-0.0005</v>
      </c>
      <c r="L171" s="0" t="n">
        <v>0.1</v>
      </c>
      <c r="M171" s="0" t="n">
        <v>0.1478</v>
      </c>
      <c r="N171" s="0" t="n">
        <v>0.0478</v>
      </c>
      <c r="O171" s="0" t="inlineStr">
        <is>
          <t>📊权重预警偏离+4.8%</t>
        </is>
      </c>
    </row>
    <row r="172">
      <c r="A172" s="0" t="inlineStr">
        <is>
          <t>20260611</t>
        </is>
      </c>
      <c r="B172" s="0" t="inlineStr">
        <is>
          <t>短融ETF</t>
        </is>
      </c>
      <c r="C172" s="0" t="inlineStr">
        <is>
          <t>511360</t>
        </is>
      </c>
      <c r="D172" s="0" t="n">
        <v>2200</v>
      </c>
      <c r="E172" s="0" t="n">
        <v>113.462</v>
      </c>
      <c r="F172" s="0" t="n">
        <v>249616.4</v>
      </c>
      <c r="G172" s="0" t="n">
        <v>113.552</v>
      </c>
      <c r="H172" s="0" t="inlineStr">
        <is>
          <t>-0.01%</t>
        </is>
      </c>
      <c r="I172" s="0" t="n">
        <v>249814.4</v>
      </c>
      <c r="J172" s="0" t="n">
        <v>198</v>
      </c>
      <c r="K172" s="0" t="n">
        <v>0.0008</v>
      </c>
      <c r="L172" s="0" t="n">
        <v>0.05</v>
      </c>
      <c r="M172" s="0" t="n">
        <v>0.0747</v>
      </c>
      <c r="N172" s="0" t="n">
        <v>0.0247</v>
      </c>
      <c r="O172" s="0" t="inlineStr">
        <is>
          <t>—</t>
        </is>
      </c>
    </row>
    <row r="173">
      <c r="A173" s="0" t="inlineStr">
        <is>
          <t>20260611</t>
        </is>
      </c>
      <c r="B173" s="0" t="inlineStr">
        <is>
          <t>黄金ETF</t>
        </is>
      </c>
      <c r="C173" s="0" t="inlineStr">
        <is>
          <t>518880</t>
        </is>
      </c>
      <c r="D173" s="0" t="n">
        <v>47800</v>
      </c>
      <c r="E173" s="0" t="n">
        <v>9.3302</v>
      </c>
      <c r="F173" s="0" t="n">
        <v>445983.56</v>
      </c>
      <c r="G173" s="0" t="n">
        <v>8.506</v>
      </c>
      <c r="H173" s="0" t="inlineStr">
        <is>
          <t>-2.63%</t>
        </is>
      </c>
      <c r="I173" s="0" t="n">
        <v>406586.8</v>
      </c>
      <c r="J173" s="0" t="n">
        <v>-39396.76</v>
      </c>
      <c r="K173" s="0" t="n">
        <v>-0.0883</v>
      </c>
      <c r="L173" s="0" t="n">
        <v>0.15</v>
      </c>
      <c r="M173" s="0" t="n">
        <v>0.1216</v>
      </c>
      <c r="N173" s="0" t="n">
        <v>-0.0284</v>
      </c>
      <c r="O173" s="0" t="inlineStr">
        <is>
          <t>—</t>
        </is>
      </c>
    </row>
    <row r="174">
      <c r="A174" s="0" t="inlineStr">
        <is>
          <t>20260611</t>
        </is>
      </c>
      <c r="B174" s="0" t="inlineStr">
        <is>
          <t>银华日利ETF</t>
        </is>
      </c>
      <c r="C174" s="0" t="inlineStr">
        <is>
          <t>511880</t>
        </is>
      </c>
      <c r="D174" s="0" t="n">
        <v>0</v>
      </c>
      <c r="F174" s="0" t="n">
        <v>0</v>
      </c>
      <c r="G174" s="0" t="n">
        <v>100.523</v>
      </c>
      <c r="H174" s="0" t="inlineStr">
        <is>
          <t>+0.01%</t>
        </is>
      </c>
      <c r="I174" s="0" t="n">
        <v>0</v>
      </c>
      <c r="J174" s="0" t="n">
        <v>0</v>
      </c>
      <c r="K174" s="0" t="n">
        <v>0</v>
      </c>
      <c r="L174" s="0" t="n">
        <v>0.05</v>
      </c>
      <c r="M174" s="0" t="n">
        <v>0</v>
      </c>
      <c r="N174" s="0" t="n">
        <v>-0.05</v>
      </c>
      <c r="O174" s="0" t="inlineStr">
        <is>
          <t>📊权重预警偏离-5.0%</t>
        </is>
      </c>
    </row>
    <row r="175">
      <c r="A175" s="0" t="inlineStr">
        <is>
          <t>20260611</t>
        </is>
      </c>
      <c r="B175" s="0" t="inlineStr">
        <is>
          <t>华宝添益ETF</t>
        </is>
      </c>
      <c r="C175" s="0" t="inlineStr">
        <is>
          <t>511990</t>
        </is>
      </c>
      <c r="D175" s="0" t="n">
        <v>0</v>
      </c>
      <c r="F175" s="0" t="n">
        <v>0</v>
      </c>
      <c r="G175" s="0" t="n">
        <v>100.002</v>
      </c>
      <c r="H175" s="0" t="inlineStr">
        <is>
          <t>+0.00%</t>
        </is>
      </c>
      <c r="I175" s="0" t="n">
        <v>0</v>
      </c>
      <c r="J175" s="0" t="n">
        <v>0</v>
      </c>
      <c r="K175" s="0" t="n">
        <v>0</v>
      </c>
      <c r="L175" s="0" t="n">
        <v>0.05</v>
      </c>
      <c r="M175" s="0" t="n">
        <v>0</v>
      </c>
      <c r="N175" s="0" t="n">
        <v>-0.05</v>
      </c>
      <c r="O175" s="0" t="inlineStr">
        <is>
          <t>📊权重预警偏离-5.0%</t>
        </is>
      </c>
    </row>
    <row r="176">
      <c r="A176" s="0" t="inlineStr">
        <is>
          <t>20260615</t>
        </is>
      </c>
      <c r="B176" s="0" t="inlineStr">
        <is>
          <t>沪深300ETF</t>
        </is>
      </c>
      <c r="C176" s="0" t="inlineStr">
        <is>
          <t>510300</t>
        </is>
      </c>
      <c r="D176" s="0" t="n">
        <v>153800</v>
      </c>
      <c r="E176" s="0" t="n">
        <v>4.885</v>
      </c>
      <c r="F176" s="0" t="n">
        <v>751313</v>
      </c>
      <c r="G176" s="0" t="n">
        <v>4.818</v>
      </c>
      <c r="H176" s="0" t="n">
        <v>0.0141</v>
      </c>
      <c r="I176" s="0" t="n">
        <v>741008.4</v>
      </c>
      <c r="J176" s="0" t="n">
        <v>-10304.6</v>
      </c>
      <c r="K176" s="0" t="n">
        <v>-0.0137</v>
      </c>
      <c r="L176" s="0" t="n">
        <v>0.15</v>
      </c>
      <c r="M176" s="0" t="n">
        <v>0.2156</v>
      </c>
      <c r="N176" s="0" t="n">
        <v>0.06560000000000001</v>
      </c>
      <c r="O176" s="0" t="inlineStr">
        <is>
          <t>📊权重预警偏离+6.6%</t>
        </is>
      </c>
    </row>
    <row r="177">
      <c r="A177" s="0" t="inlineStr">
        <is>
          <t>20260615</t>
        </is>
      </c>
      <c r="B177" s="0" t="inlineStr">
        <is>
          <t>中证500ETF</t>
        </is>
      </c>
      <c r="C177" s="0" t="inlineStr">
        <is>
          <t>510500</t>
        </is>
      </c>
      <c r="D177" s="0" t="n">
        <v>20000</v>
      </c>
      <c r="E177" s="0" t="n">
        <v>8.696</v>
      </c>
      <c r="F177" s="0" t="n">
        <v>173920</v>
      </c>
      <c r="G177" s="0" t="n">
        <v>8.242000000000001</v>
      </c>
      <c r="H177" s="0" t="n">
        <v>0.0134</v>
      </c>
      <c r="I177" s="0" t="n">
        <v>164840</v>
      </c>
      <c r="J177" s="0" t="n">
        <v>-9080</v>
      </c>
      <c r="K177" s="0" t="n">
        <v>-0.0522</v>
      </c>
      <c r="L177" s="0" t="n">
        <v>0.1</v>
      </c>
      <c r="M177" s="0" t="n">
        <v>0.048</v>
      </c>
      <c r="N177" s="0" t="n">
        <v>-0.052</v>
      </c>
      <c r="O177" s="0" t="inlineStr">
        <is>
          <t>📊权重预警偏离-5.2%</t>
        </is>
      </c>
    </row>
    <row r="178">
      <c r="A178" s="0" t="inlineStr">
        <is>
          <t>20260615</t>
        </is>
      </c>
      <c r="B178" s="0" t="inlineStr">
        <is>
          <t>科创50ETF</t>
        </is>
      </c>
      <c r="C178" s="0" t="inlineStr">
        <is>
          <t>588050</t>
        </is>
      </c>
      <c r="D178" s="0" t="n">
        <v>60000</v>
      </c>
      <c r="E178" s="0" t="n">
        <v>1.838</v>
      </c>
      <c r="F178" s="0" t="n">
        <v>110280</v>
      </c>
      <c r="G178" s="0" t="n">
        <v>1.709</v>
      </c>
      <c r="H178" s="0" t="n">
        <v>-0.0005999999999999999</v>
      </c>
      <c r="I178" s="0" t="n">
        <v>102540</v>
      </c>
      <c r="J178" s="0" t="n">
        <v>-7740</v>
      </c>
      <c r="K178" s="0" t="n">
        <v>-0.0702</v>
      </c>
      <c r="L178" s="0" t="n">
        <v>0.05</v>
      </c>
      <c r="M178" s="0" t="n">
        <v>0.0298</v>
      </c>
      <c r="N178" s="0" t="n">
        <v>-0.0202</v>
      </c>
      <c r="O178" s="0" t="inlineStr">
        <is>
          <t>⚡预警：浮亏-7.0% &gt;= -5%，暂停新增买入</t>
        </is>
      </c>
    </row>
    <row r="179">
      <c r="A179" s="0" t="inlineStr">
        <is>
          <t>20260615</t>
        </is>
      </c>
      <c r="B179" s="0" t="inlineStr">
        <is>
          <t>创业板ETF</t>
        </is>
      </c>
      <c r="C179" s="0" t="inlineStr">
        <is>
          <t>159915</t>
        </is>
      </c>
      <c r="D179" s="0" t="n">
        <v>63000</v>
      </c>
      <c r="E179" s="0" t="n">
        <v>3.968</v>
      </c>
      <c r="F179" s="0" t="n">
        <v>249984</v>
      </c>
      <c r="G179" s="0" t="n">
        <v>3.846</v>
      </c>
      <c r="H179" s="0" t="n">
        <v>0.0042</v>
      </c>
      <c r="I179" s="0" t="n">
        <v>242298</v>
      </c>
      <c r="J179" s="0" t="n">
        <v>-7686</v>
      </c>
      <c r="K179" s="0" t="n">
        <v>-0.0307</v>
      </c>
      <c r="L179" s="0" t="n">
        <v>0.05</v>
      </c>
      <c r="M179" s="0" t="n">
        <v>0.07049999999999999</v>
      </c>
      <c r="N179" s="0" t="n">
        <v>0.0205</v>
      </c>
      <c r="O179" s="0" t="inlineStr">
        <is>
          <t>—</t>
        </is>
      </c>
    </row>
    <row r="180">
      <c r="A180" s="0" t="inlineStr">
        <is>
          <t>20260615</t>
        </is>
      </c>
      <c r="B180" s="0" t="inlineStr">
        <is>
          <t>红利低波ETF</t>
        </is>
      </c>
      <c r="C180" s="0" t="inlineStr">
        <is>
          <t>512890</t>
        </is>
      </c>
      <c r="D180" s="0" t="n">
        <v>218000</v>
      </c>
      <c r="E180" s="0" t="n">
        <v>1.15</v>
      </c>
      <c r="F180" s="0" t="n">
        <v>250700</v>
      </c>
      <c r="G180" s="0" t="n">
        <v>1.172</v>
      </c>
      <c r="H180" s="0" t="n">
        <v>0.0086</v>
      </c>
      <c r="I180" s="0" t="n">
        <v>255496</v>
      </c>
      <c r="J180" s="0" t="n">
        <v>4796</v>
      </c>
      <c r="K180" s="0" t="n">
        <v>0.0191</v>
      </c>
      <c r="L180" s="0" t="n">
        <v>0.05</v>
      </c>
      <c r="M180" s="0" t="n">
        <v>0.0743</v>
      </c>
      <c r="N180" s="0" t="n">
        <v>0.0243</v>
      </c>
      <c r="O180" s="0" t="inlineStr">
        <is>
          <t>—</t>
        </is>
      </c>
    </row>
    <row r="181">
      <c r="A181" s="0" t="inlineStr">
        <is>
          <t>20260615</t>
        </is>
      </c>
      <c r="B181" s="0" t="inlineStr">
        <is>
          <t>可转债ETF</t>
        </is>
      </c>
      <c r="C181" s="0" t="inlineStr">
        <is>
          <t>511380</t>
        </is>
      </c>
      <c r="D181" s="0" t="n">
        <v>14500</v>
      </c>
      <c r="E181" s="0" t="n">
        <v>13.8644</v>
      </c>
      <c r="F181" s="0" t="n">
        <v>201033.8</v>
      </c>
      <c r="G181" s="0" t="n">
        <v>13.929</v>
      </c>
      <c r="H181" s="0" t="n">
        <v>0.0083</v>
      </c>
      <c r="I181" s="0" t="n">
        <v>201970.5</v>
      </c>
      <c r="J181" s="0" t="n">
        <v>936.7</v>
      </c>
      <c r="K181" s="0" t="n">
        <v>0.0047</v>
      </c>
      <c r="L181" s="0" t="n">
        <v>0.1</v>
      </c>
      <c r="M181" s="0" t="n">
        <v>0.0588</v>
      </c>
      <c r="N181" s="0" t="n">
        <v>-0.0412</v>
      </c>
      <c r="O181" s="0" t="inlineStr">
        <is>
          <t>📊权重预警偏离-4.1%</t>
        </is>
      </c>
    </row>
    <row r="182">
      <c r="A182" s="0" t="inlineStr">
        <is>
          <t>20260615</t>
        </is>
      </c>
      <c r="B182" s="0" t="inlineStr">
        <is>
          <t>10年国债ETF</t>
        </is>
      </c>
      <c r="C182" s="0" t="inlineStr">
        <is>
          <t>511260</t>
        </is>
      </c>
      <c r="D182" s="0" t="n">
        <v>3700</v>
      </c>
      <c r="E182" s="0" t="n">
        <v>135.645</v>
      </c>
      <c r="F182" s="0" t="n">
        <v>501886.5</v>
      </c>
      <c r="G182" s="0" t="n">
        <v>135.582</v>
      </c>
      <c r="H182" s="0" t="n">
        <v>0.0005</v>
      </c>
      <c r="I182" s="0" t="n">
        <v>501653.4</v>
      </c>
      <c r="J182" s="0" t="n">
        <v>-233.1</v>
      </c>
      <c r="K182" s="0" t="n">
        <v>-0.0005</v>
      </c>
      <c r="L182" s="0" t="n">
        <v>0.1</v>
      </c>
      <c r="M182" s="0" t="n">
        <v>0.146</v>
      </c>
      <c r="N182" s="0" t="n">
        <v>0.046</v>
      </c>
      <c r="O182" s="0" t="inlineStr">
        <is>
          <t>📊权重预警偏离+4.6%</t>
        </is>
      </c>
    </row>
    <row r="183">
      <c r="A183" s="0" t="inlineStr">
        <is>
          <t>20260615</t>
        </is>
      </c>
      <c r="B183" s="0" t="inlineStr">
        <is>
          <t>5年国债ETF</t>
        </is>
      </c>
      <c r="C183" s="0" t="inlineStr">
        <is>
          <t>511010</t>
        </is>
      </c>
      <c r="D183" s="0" t="n">
        <v>3500</v>
      </c>
      <c r="E183" s="0" t="n">
        <v>141.2121</v>
      </c>
      <c r="F183" s="0" t="n">
        <v>494242.35</v>
      </c>
      <c r="G183" s="0" t="n">
        <v>141.163</v>
      </c>
      <c r="H183" s="0" t="n">
        <v>0.0002</v>
      </c>
      <c r="I183" s="0" t="n">
        <v>494070.5</v>
      </c>
      <c r="J183" s="0" t="n">
        <v>-171.85</v>
      </c>
      <c r="K183" s="0" t="n">
        <v>-0.0003</v>
      </c>
      <c r="L183" s="0" t="n">
        <v>0.1</v>
      </c>
      <c r="M183" s="0" t="n">
        <v>0.1438</v>
      </c>
      <c r="N183" s="0" t="n">
        <v>0.0438</v>
      </c>
      <c r="O183" s="0" t="inlineStr">
        <is>
          <t>📊权重预警偏离+4.4%</t>
        </is>
      </c>
    </row>
    <row r="184">
      <c r="A184" s="0" t="inlineStr">
        <is>
          <t>20260615</t>
        </is>
      </c>
      <c r="B184" s="0" t="inlineStr">
        <is>
          <t>短融ETF</t>
        </is>
      </c>
      <c r="C184" s="0" t="inlineStr">
        <is>
          <t>511360</t>
        </is>
      </c>
      <c r="D184" s="0" t="n">
        <v>2200</v>
      </c>
      <c r="E184" s="0" t="n">
        <v>113.462</v>
      </c>
      <c r="F184" s="0" t="n">
        <v>249616.4</v>
      </c>
      <c r="G184" s="0" t="n">
        <v>113.538</v>
      </c>
      <c r="H184" s="0" t="n">
        <v>-0.0001</v>
      </c>
      <c r="I184" s="0" t="n">
        <v>249783.6</v>
      </c>
      <c r="J184" s="0" t="n">
        <v>167.2</v>
      </c>
      <c r="K184" s="0" t="n">
        <v>0.0007</v>
      </c>
      <c r="L184" s="0" t="n">
        <v>0.05</v>
      </c>
      <c r="M184" s="0" t="n">
        <v>0.0727</v>
      </c>
      <c r="N184" s="0" t="n">
        <v>0.0227</v>
      </c>
      <c r="O184" s="0" t="inlineStr">
        <is>
          <t>—</t>
        </is>
      </c>
    </row>
    <row r="185">
      <c r="A185" s="0" t="inlineStr">
        <is>
          <t>20260615</t>
        </is>
      </c>
      <c r="B185" s="0" t="inlineStr">
        <is>
          <t>黄金ETF</t>
        </is>
      </c>
      <c r="C185" s="0" t="inlineStr">
        <is>
          <t>518880</t>
        </is>
      </c>
      <c r="D185" s="0" t="n">
        <v>55800</v>
      </c>
      <c r="E185" s="0" t="n">
        <v>9.232699999999999</v>
      </c>
      <c r="F185" s="0" t="n">
        <v>515184.66</v>
      </c>
      <c r="G185" s="0" t="n">
        <v>8.659000000000001</v>
      </c>
      <c r="H185" s="0" t="n">
        <v>0.018</v>
      </c>
      <c r="I185" s="0" t="n">
        <v>483172.2</v>
      </c>
      <c r="J185" s="0" t="n">
        <v>-32012.46</v>
      </c>
      <c r="K185" s="0" t="n">
        <v>-0.0621</v>
      </c>
      <c r="L185" s="0" t="n">
        <v>0.15</v>
      </c>
      <c r="M185" s="0" t="n">
        <v>0.1406</v>
      </c>
      <c r="N185" s="0" t="n">
        <v>-0.0094</v>
      </c>
      <c r="O185" s="0" t="inlineStr">
        <is>
          <t>—</t>
        </is>
      </c>
    </row>
    <row r="186">
      <c r="A186" s="0" t="inlineStr">
        <is>
          <t>20260615</t>
        </is>
      </c>
      <c r="B186" s="0" t="inlineStr">
        <is>
          <t>银华日利ETF</t>
        </is>
      </c>
      <c r="C186" s="0" t="inlineStr">
        <is>
          <t>511880</t>
        </is>
      </c>
      <c r="G186" s="0" t="n">
        <v>100.517</v>
      </c>
      <c r="H186" s="0" t="n">
        <v>-0.0001</v>
      </c>
      <c r="I186" s="0" t="n">
        <v>0</v>
      </c>
      <c r="J186" s="0" t="n">
        <v>0</v>
      </c>
      <c r="K186" s="0" t="n">
        <v>0</v>
      </c>
      <c r="L186" s="0" t="n">
        <v>0.05</v>
      </c>
      <c r="M186" s="0" t="n">
        <v>0</v>
      </c>
      <c r="N186" s="0" t="n">
        <v>-0.05</v>
      </c>
      <c r="O186" s="0" t="inlineStr">
        <is>
          <t>📊权重预警偏离-5.0%</t>
        </is>
      </c>
    </row>
    <row r="187">
      <c r="A187" s="0" t="inlineStr">
        <is>
          <t>20260615</t>
        </is>
      </c>
      <c r="B187" s="0" t="inlineStr">
        <is>
          <t>华宝添益ETF</t>
        </is>
      </c>
      <c r="C187" s="0" t="inlineStr">
        <is>
          <t>511990</t>
        </is>
      </c>
      <c r="G187" s="0" t="n">
        <v>100.003</v>
      </c>
      <c r="I187" s="0" t="n">
        <v>0</v>
      </c>
      <c r="J187" s="0" t="n">
        <v>0</v>
      </c>
      <c r="K187" s="0" t="n">
        <v>0</v>
      </c>
      <c r="L187" s="0" t="n">
        <v>0.05</v>
      </c>
      <c r="M187" s="0" t="n">
        <v>0</v>
      </c>
      <c r="N187" s="0" t="n">
        <v>-0.05</v>
      </c>
      <c r="O187" s="0" t="inlineStr">
        <is>
          <t>📊权重预警偏离-5.0%</t>
        </is>
      </c>
    </row>
    <row r="188">
      <c r="A188" s="0" t="inlineStr">
        <is>
          <t>20260616</t>
        </is>
      </c>
      <c r="B188" s="0" t="inlineStr">
        <is>
          <t>沪深300ETF</t>
        </is>
      </c>
      <c r="C188" s="0" t="inlineStr">
        <is>
          <t>510300</t>
        </is>
      </c>
      <c r="D188" s="0" t="n">
        <v>153800</v>
      </c>
      <c r="E188" s="0" t="n">
        <v>4.885</v>
      </c>
      <c r="F188" s="0" t="n">
        <v>751313</v>
      </c>
      <c r="G188" s="0" t="n">
        <v>4.91</v>
      </c>
      <c r="H188" s="0" t="n">
        <v>-0.0018</v>
      </c>
      <c r="I188" s="0" t="n">
        <v>755158</v>
      </c>
      <c r="J188" s="0" t="n">
        <v>3845</v>
      </c>
      <c r="K188" s="0" t="n">
        <v>0.0051</v>
      </c>
      <c r="L188" s="0" t="n">
        <v>0.15</v>
      </c>
      <c r="M188" s="0" t="n">
        <v>0.216</v>
      </c>
      <c r="N188" s="0" t="n">
        <v>0.066</v>
      </c>
      <c r="O188" s="0" t="inlineStr">
        <is>
          <t>—</t>
        </is>
      </c>
    </row>
    <row r="189">
      <c r="A189" s="0" t="inlineStr">
        <is>
          <t>20260616</t>
        </is>
      </c>
      <c r="B189" s="0" t="inlineStr">
        <is>
          <t>中证500ETF</t>
        </is>
      </c>
      <c r="C189" s="0" t="inlineStr">
        <is>
          <t>510500</t>
        </is>
      </c>
      <c r="D189" s="0" t="n">
        <v>20000</v>
      </c>
      <c r="E189" s="0" t="n">
        <v>8.696</v>
      </c>
      <c r="F189" s="0" t="n">
        <v>173920</v>
      </c>
      <c r="G189" s="0" t="n">
        <v>8.632</v>
      </c>
      <c r="H189" s="0" t="n">
        <v>0.0103</v>
      </c>
      <c r="I189" s="0" t="n">
        <v>172640</v>
      </c>
      <c r="J189" s="0" t="n">
        <v>-1280</v>
      </c>
      <c r="K189" s="0" t="n">
        <v>-0.0074</v>
      </c>
      <c r="L189" s="0" t="n">
        <v>0.1</v>
      </c>
      <c r="M189" s="0" t="n">
        <v>0.0494</v>
      </c>
      <c r="N189" s="0" t="n">
        <v>-0.0506</v>
      </c>
      <c r="O189" s="0" t="inlineStr">
        <is>
          <t>—</t>
        </is>
      </c>
    </row>
    <row r="190">
      <c r="A190" s="0" t="inlineStr">
        <is>
          <t>20260616</t>
        </is>
      </c>
      <c r="B190" s="0" t="inlineStr">
        <is>
          <t>科创50ETF</t>
        </is>
      </c>
      <c r="C190" s="0" t="inlineStr">
        <is>
          <t>588050</t>
        </is>
      </c>
      <c r="D190" s="0" t="n">
        <v>60000</v>
      </c>
      <c r="E190" s="0" t="n">
        <v>1.838</v>
      </c>
      <c r="F190" s="0" t="n">
        <v>110280</v>
      </c>
      <c r="G190" s="0" t="n">
        <v>1.799</v>
      </c>
      <c r="H190" s="0" t="n">
        <v>0.0022</v>
      </c>
      <c r="I190" s="0" t="n">
        <v>107940</v>
      </c>
      <c r="J190" s="0" t="n">
        <v>-2340</v>
      </c>
      <c r="K190" s="0" t="n">
        <v>-0.0212</v>
      </c>
      <c r="L190" s="0" t="n">
        <v>0.05</v>
      </c>
      <c r="M190" s="0" t="n">
        <v>0.0309</v>
      </c>
      <c r="N190" s="0" t="n">
        <v>-0.0191</v>
      </c>
      <c r="O190" s="0" t="inlineStr">
        <is>
          <t>—</t>
        </is>
      </c>
    </row>
    <row r="191">
      <c r="A191" s="0" t="inlineStr">
        <is>
          <t>20260616</t>
        </is>
      </c>
      <c r="B191" s="0" t="inlineStr">
        <is>
          <t>创业板ETF</t>
        </is>
      </c>
      <c r="C191" s="0" t="inlineStr">
        <is>
          <t>159915</t>
        </is>
      </c>
      <c r="D191" s="0" t="n">
        <v>63000</v>
      </c>
      <c r="E191" s="0" t="n">
        <v>3.968</v>
      </c>
      <c r="F191" s="0" t="n">
        <v>249984</v>
      </c>
      <c r="G191" s="0" t="n">
        <v>4.111</v>
      </c>
      <c r="H191" s="0" t="n">
        <v>0.0163</v>
      </c>
      <c r="I191" s="0" t="n">
        <v>258993</v>
      </c>
      <c r="J191" s="0" t="n">
        <v>9009</v>
      </c>
      <c r="K191" s="0" t="n">
        <v>0.036</v>
      </c>
      <c r="L191" s="0" t="n">
        <v>0.05</v>
      </c>
      <c r="M191" s="0" t="n">
        <v>0.0741</v>
      </c>
      <c r="N191" s="0" t="n">
        <v>0.0241</v>
      </c>
      <c r="O191" s="0" t="inlineStr">
        <is>
          <t>—</t>
        </is>
      </c>
    </row>
    <row r="192">
      <c r="A192" s="0" t="inlineStr">
        <is>
          <t>20260616</t>
        </is>
      </c>
      <c r="B192" s="0" t="inlineStr">
        <is>
          <t>红利低波ETF</t>
        </is>
      </c>
      <c r="C192" s="0" t="inlineStr">
        <is>
          <t>512890</t>
        </is>
      </c>
      <c r="D192" s="0" t="n">
        <v>218000</v>
      </c>
      <c r="E192" s="0" t="n">
        <v>1.15</v>
      </c>
      <c r="F192" s="0" t="n">
        <v>250700</v>
      </c>
      <c r="G192" s="0" t="n">
        <v>1.145</v>
      </c>
      <c r="H192" s="0" t="n">
        <v>-0.0138</v>
      </c>
      <c r="I192" s="0" t="n">
        <v>249610</v>
      </c>
      <c r="J192" s="0" t="n">
        <v>-1090</v>
      </c>
      <c r="K192" s="0" t="n">
        <v>-0.0043</v>
      </c>
      <c r="L192" s="0" t="n">
        <v>0.05</v>
      </c>
      <c r="M192" s="0" t="n">
        <v>0.07140000000000001</v>
      </c>
      <c r="N192" s="0" t="n">
        <v>0.0214</v>
      </c>
      <c r="O192" s="0" t="inlineStr">
        <is>
          <t>—</t>
        </is>
      </c>
    </row>
    <row r="193">
      <c r="A193" s="0" t="inlineStr">
        <is>
          <t>20260616</t>
        </is>
      </c>
      <c r="B193" s="0" t="inlineStr">
        <is>
          <t>可转债ETF</t>
        </is>
      </c>
      <c r="C193" s="0" t="inlineStr">
        <is>
          <t>511380</t>
        </is>
      </c>
      <c r="D193" s="0" t="n">
        <v>14500</v>
      </c>
      <c r="E193" s="0" t="n">
        <v>13.8644</v>
      </c>
      <c r="F193" s="0" t="n">
        <v>201033.8</v>
      </c>
      <c r="G193" s="0" t="n">
        <v>14.219</v>
      </c>
      <c r="H193" s="0" t="n">
        <v>0.004</v>
      </c>
      <c r="I193" s="0" t="n">
        <v>206175.5</v>
      </c>
      <c r="J193" s="0" t="n">
        <v>5141.7</v>
      </c>
      <c r="K193" s="0" t="n">
        <v>0.0256</v>
      </c>
      <c r="L193" s="0" t="n">
        <v>0.1</v>
      </c>
      <c r="M193" s="0" t="n">
        <v>0.059</v>
      </c>
      <c r="N193" s="0" t="n">
        <v>-0.041</v>
      </c>
      <c r="O193" s="0" t="inlineStr">
        <is>
          <t>—</t>
        </is>
      </c>
    </row>
    <row r="194">
      <c r="A194" s="0" t="inlineStr">
        <is>
          <t>20260616</t>
        </is>
      </c>
      <c r="B194" s="0" t="inlineStr">
        <is>
          <t>10年国债ETF</t>
        </is>
      </c>
      <c r="C194" s="0" t="inlineStr">
        <is>
          <t>511260</t>
        </is>
      </c>
      <c r="D194" s="0" t="n">
        <v>3700</v>
      </c>
      <c r="E194" s="0" t="n">
        <v>135.645</v>
      </c>
      <c r="F194" s="0" t="n">
        <v>501886.5</v>
      </c>
      <c r="G194" s="0" t="n">
        <v>135.838</v>
      </c>
      <c r="H194" s="0" t="n">
        <v>0.0012</v>
      </c>
      <c r="I194" s="0" t="n">
        <v>502600.6</v>
      </c>
      <c r="J194" s="0" t="n">
        <v>714.1</v>
      </c>
      <c r="K194" s="0" t="n">
        <v>0.0014</v>
      </c>
      <c r="L194" s="0" t="n">
        <v>0.1</v>
      </c>
      <c r="M194" s="0" t="n">
        <v>0.1437</v>
      </c>
      <c r="N194" s="0" t="n">
        <v>0.0437</v>
      </c>
      <c r="O194" s="0" t="inlineStr">
        <is>
          <t>—</t>
        </is>
      </c>
    </row>
    <row r="195">
      <c r="A195" s="0" t="inlineStr">
        <is>
          <t>20260616</t>
        </is>
      </c>
      <c r="B195" s="0" t="inlineStr">
        <is>
          <t>5年国债ETF</t>
        </is>
      </c>
      <c r="C195" s="0" t="inlineStr">
        <is>
          <t>511010</t>
        </is>
      </c>
      <c r="D195" s="0" t="n">
        <v>3500</v>
      </c>
      <c r="E195" s="0" t="n">
        <v>141.2121</v>
      </c>
      <c r="F195" s="0" t="n">
        <v>494242.35</v>
      </c>
      <c r="G195" s="0" t="n">
        <v>141.309</v>
      </c>
      <c r="H195" s="0" t="n">
        <v>0.0008</v>
      </c>
      <c r="I195" s="0" t="n">
        <v>494581.5</v>
      </c>
      <c r="J195" s="0" t="n">
        <v>339.15</v>
      </c>
      <c r="K195" s="0" t="n">
        <v>0.0007</v>
      </c>
      <c r="L195" s="0" t="n">
        <v>0.1</v>
      </c>
      <c r="M195" s="0" t="n">
        <v>0.1414</v>
      </c>
      <c r="N195" s="0" t="n">
        <v>0.0414</v>
      </c>
      <c r="O195" s="0" t="inlineStr">
        <is>
          <t>—</t>
        </is>
      </c>
    </row>
    <row r="196">
      <c r="A196" s="0" t="inlineStr">
        <is>
          <t>20260616</t>
        </is>
      </c>
      <c r="B196" s="0" t="inlineStr">
        <is>
          <t>短融ETF</t>
        </is>
      </c>
      <c r="C196" s="0" t="inlineStr">
        <is>
          <t>511360</t>
        </is>
      </c>
      <c r="D196" s="0" t="n">
        <v>2200</v>
      </c>
      <c r="E196" s="0" t="n">
        <v>113.462</v>
      </c>
      <c r="F196" s="0" t="n">
        <v>249616.4</v>
      </c>
      <c r="G196" s="0" t="n">
        <v>113.547</v>
      </c>
      <c r="I196" s="0" t="n">
        <v>249803.4</v>
      </c>
      <c r="J196" s="0" t="n">
        <v>187</v>
      </c>
      <c r="K196" s="0" t="n">
        <v>0.0007</v>
      </c>
      <c r="L196" s="0" t="n">
        <v>0.05</v>
      </c>
      <c r="M196" s="0" t="n">
        <v>0.07140000000000001</v>
      </c>
      <c r="N196" s="0" t="n">
        <v>0.0214</v>
      </c>
      <c r="O196" s="0" t="inlineStr">
        <is>
          <t>—</t>
        </is>
      </c>
    </row>
    <row r="197">
      <c r="A197" s="0" t="inlineStr">
        <is>
          <t>20260616</t>
        </is>
      </c>
      <c r="B197" s="0" t="inlineStr">
        <is>
          <t>黄金ETF</t>
        </is>
      </c>
      <c r="C197" s="0" t="inlineStr">
        <is>
          <t>518880</t>
        </is>
      </c>
      <c r="D197" s="0" t="n">
        <v>55800</v>
      </c>
      <c r="E197" s="0" t="n">
        <v>9.232699999999999</v>
      </c>
      <c r="F197" s="0" t="n">
        <v>515184.66</v>
      </c>
      <c r="G197" s="0" t="n">
        <v>8.949</v>
      </c>
      <c r="H197" s="0" t="n">
        <v>0.0024</v>
      </c>
      <c r="I197" s="0" t="n">
        <v>499354.2</v>
      </c>
      <c r="J197" s="0" t="n">
        <v>-15830.46</v>
      </c>
      <c r="K197" s="0" t="n">
        <v>-0.0307</v>
      </c>
      <c r="L197" s="0" t="n">
        <v>0.15</v>
      </c>
      <c r="M197" s="0" t="n">
        <v>0.1428</v>
      </c>
      <c r="N197" s="0" t="n">
        <v>-0.0072</v>
      </c>
      <c r="O197" s="0" t="inlineStr">
        <is>
          <t>—</t>
        </is>
      </c>
    </row>
    <row r="198">
      <c r="A198" s="0" t="inlineStr">
        <is>
          <t>20260616</t>
        </is>
      </c>
      <c r="B198" s="0" t="inlineStr">
        <is>
          <t>银华日利ETF</t>
        </is>
      </c>
      <c r="C198" s="0" t="inlineStr">
        <is>
          <t>511880</t>
        </is>
      </c>
      <c r="G198" s="0" t="n">
        <v>100.522</v>
      </c>
      <c r="I198" s="0" t="n">
        <v>0</v>
      </c>
      <c r="J198" s="0" t="n">
        <v>0</v>
      </c>
      <c r="K198" s="0" t="n">
        <v>0</v>
      </c>
      <c r="L198" s="0" t="n">
        <v>0.05</v>
      </c>
      <c r="M198" s="0" t="n">
        <v>0</v>
      </c>
      <c r="N198" s="0" t="n">
        <v>-0.05</v>
      </c>
      <c r="O198" s="0" t="inlineStr">
        <is>
          <t>—</t>
        </is>
      </c>
    </row>
    <row r="199">
      <c r="A199" s="0" t="inlineStr">
        <is>
          <t>20260616</t>
        </is>
      </c>
      <c r="B199" s="0" t="inlineStr">
        <is>
          <t>华宝添益ETF</t>
        </is>
      </c>
      <c r="C199" s="0" t="inlineStr">
        <is>
          <t>511990</t>
        </is>
      </c>
      <c r="G199" s="0" t="n">
        <v>99.996</v>
      </c>
      <c r="I199" s="0" t="n">
        <v>0</v>
      </c>
      <c r="J199" s="0" t="n">
        <v>0</v>
      </c>
      <c r="K199" s="0" t="n">
        <v>0</v>
      </c>
      <c r="L199" s="0" t="n">
        <v>0.05</v>
      </c>
      <c r="M199" s="0" t="n">
        <v>0</v>
      </c>
      <c r="N199" s="0" t="n">
        <v>-0.05</v>
      </c>
      <c r="O199" s="0" t="inlineStr">
        <is>
          <t>—</t>
        </is>
      </c>
    </row>
    <row r="200">
      <c r="A200" s="0" t="inlineStr">
        <is>
          <t>20260617</t>
        </is>
      </c>
      <c r="B200" s="0" t="inlineStr">
        <is>
          <t>沪深300ETF</t>
        </is>
      </c>
      <c r="C200" s="0" t="inlineStr">
        <is>
          <t>510300</t>
        </is>
      </c>
      <c r="D200" s="0" t="n">
        <v>153800</v>
      </c>
      <c r="E200" s="0" t="n">
        <v>4.885</v>
      </c>
      <c r="F200" s="0" t="n">
        <v>751313</v>
      </c>
      <c r="G200" s="0" t="n">
        <v>4.958</v>
      </c>
      <c r="H200" s="0" t="n">
        <v>0.0098</v>
      </c>
      <c r="I200" s="0" t="n">
        <v>762540.4</v>
      </c>
      <c r="J200" s="0" t="n">
        <v>11227.4</v>
      </c>
      <c r="K200" s="0" t="n">
        <v>0.0149</v>
      </c>
      <c r="L200" s="0" t="n">
        <v>0.15</v>
      </c>
      <c r="M200" s="0" t="n">
        <v>0.2169</v>
      </c>
      <c r="N200" s="0" t="n">
        <v>0.0669</v>
      </c>
      <c r="O200" s="0" t="inlineStr">
        <is>
          <t>—</t>
        </is>
      </c>
    </row>
    <row r="201">
      <c r="A201" s="0" t="inlineStr">
        <is>
          <t>20260617</t>
        </is>
      </c>
      <c r="B201" s="0" t="inlineStr">
        <is>
          <t>中证500ETF</t>
        </is>
      </c>
      <c r="C201" s="0" t="inlineStr">
        <is>
          <t>510500</t>
        </is>
      </c>
      <c r="D201" s="0" t="n">
        <v>20000</v>
      </c>
      <c r="E201" s="0" t="n">
        <v>8.696</v>
      </c>
      <c r="F201" s="0" t="n">
        <v>173920</v>
      </c>
      <c r="G201" s="0" t="n">
        <v>8.763</v>
      </c>
      <c r="H201" s="0" t="n">
        <v>0.0152</v>
      </c>
      <c r="I201" s="0" t="n">
        <v>175260</v>
      </c>
      <c r="J201" s="0" t="n">
        <v>1340</v>
      </c>
      <c r="K201" s="0" t="n">
        <v>0.0077</v>
      </c>
      <c r="L201" s="0" t="n">
        <v>0.1</v>
      </c>
      <c r="M201" s="0" t="n">
        <v>0.0499</v>
      </c>
      <c r="N201" s="0" t="n">
        <v>-0.0501</v>
      </c>
      <c r="O201" s="0" t="inlineStr">
        <is>
          <t>—</t>
        </is>
      </c>
    </row>
    <row r="202">
      <c r="A202" s="0" t="inlineStr">
        <is>
          <t>20260617</t>
        </is>
      </c>
      <c r="B202" s="0" t="inlineStr">
        <is>
          <t>科创50ETF</t>
        </is>
      </c>
      <c r="C202" s="0" t="inlineStr">
        <is>
          <t>588050</t>
        </is>
      </c>
      <c r="D202" s="0" t="n">
        <v>60000</v>
      </c>
      <c r="E202" s="0" t="n">
        <v>1.838</v>
      </c>
      <c r="F202" s="0" t="n">
        <v>110280</v>
      </c>
      <c r="G202" s="0" t="n">
        <v>1.883</v>
      </c>
      <c r="H202" s="0" t="n">
        <v>0.0467</v>
      </c>
      <c r="I202" s="0" t="n">
        <v>112980</v>
      </c>
      <c r="J202" s="0" t="n">
        <v>2700</v>
      </c>
      <c r="K202" s="0" t="n">
        <v>0.0245</v>
      </c>
      <c r="L202" s="0" t="n">
        <v>0.05</v>
      </c>
      <c r="M202" s="0" t="n">
        <v>0.0321</v>
      </c>
      <c r="N202" s="0" t="n">
        <v>-0.0179</v>
      </c>
      <c r="O202" s="0" t="inlineStr">
        <is>
          <t>—</t>
        </is>
      </c>
    </row>
    <row r="203">
      <c r="A203" s="0" t="inlineStr">
        <is>
          <t>20260617</t>
        </is>
      </c>
      <c r="B203" s="0" t="inlineStr">
        <is>
          <t>创业板ETF</t>
        </is>
      </c>
      <c r="C203" s="0" t="inlineStr">
        <is>
          <t>159915</t>
        </is>
      </c>
      <c r="D203" s="0" t="n">
        <v>63000</v>
      </c>
      <c r="E203" s="0" t="n">
        <v>3.968</v>
      </c>
      <c r="F203" s="0" t="n">
        <v>249984</v>
      </c>
      <c r="G203" s="0" t="n">
        <v>4.183</v>
      </c>
      <c r="H203" s="0" t="n">
        <v>0.0175</v>
      </c>
      <c r="I203" s="0" t="n">
        <v>263529</v>
      </c>
      <c r="J203" s="0" t="n">
        <v>13545</v>
      </c>
      <c r="K203" s="0" t="n">
        <v>0.0542</v>
      </c>
      <c r="L203" s="0" t="n">
        <v>0.05</v>
      </c>
      <c r="M203" s="0" t="n">
        <v>0.075</v>
      </c>
      <c r="N203" s="0" t="n">
        <v>0.025</v>
      </c>
      <c r="O203" s="0" t="inlineStr">
        <is>
          <t>—</t>
        </is>
      </c>
    </row>
    <row r="204">
      <c r="A204" s="0" t="inlineStr">
        <is>
          <t>20260617</t>
        </is>
      </c>
      <c r="B204" s="0" t="inlineStr">
        <is>
          <t>红利低波ETF</t>
        </is>
      </c>
      <c r="C204" s="0" t="inlineStr">
        <is>
          <t>512890</t>
        </is>
      </c>
      <c r="D204" s="0" t="n">
        <v>218000</v>
      </c>
      <c r="E204" s="0" t="n">
        <v>1.15</v>
      </c>
      <c r="F204" s="0" t="n">
        <v>250700</v>
      </c>
      <c r="G204" s="0" t="n">
        <v>1.14</v>
      </c>
      <c r="H204" s="0" t="n">
        <v>-0.0044</v>
      </c>
      <c r="I204" s="0" t="n">
        <v>248520</v>
      </c>
      <c r="J204" s="0" t="n">
        <v>-2180</v>
      </c>
      <c r="K204" s="0" t="n">
        <v>-0.008699999999999999</v>
      </c>
      <c r="L204" s="0" t="n">
        <v>0.05</v>
      </c>
      <c r="M204" s="0" t="n">
        <v>0.0707</v>
      </c>
      <c r="N204" s="0" t="n">
        <v>0.0207</v>
      </c>
      <c r="O204" s="0" t="inlineStr">
        <is>
          <t>—</t>
        </is>
      </c>
    </row>
    <row r="205">
      <c r="A205" s="0" t="inlineStr">
        <is>
          <t>20260617</t>
        </is>
      </c>
      <c r="B205" s="0" t="inlineStr">
        <is>
          <t>可转债ETF</t>
        </is>
      </c>
      <c r="C205" s="0" t="inlineStr">
        <is>
          <t>511380</t>
        </is>
      </c>
      <c r="D205" s="0" t="n">
        <v>14500</v>
      </c>
      <c r="E205" s="0" t="n">
        <v>13.8644</v>
      </c>
      <c r="F205" s="0" t="n">
        <v>201033.8</v>
      </c>
      <c r="G205" s="0" t="n">
        <v>14.158</v>
      </c>
      <c r="H205" s="0" t="n">
        <v>-0.0043</v>
      </c>
      <c r="I205" s="0" t="n">
        <v>205291</v>
      </c>
      <c r="J205" s="0" t="n">
        <v>4257.2</v>
      </c>
      <c r="K205" s="0" t="n">
        <v>0.0212</v>
      </c>
      <c r="L205" s="0" t="n">
        <v>0.1</v>
      </c>
      <c r="M205" s="0" t="n">
        <v>0.0584</v>
      </c>
      <c r="N205" s="0" t="n">
        <v>-0.0416</v>
      </c>
      <c r="O205" s="0" t="inlineStr">
        <is>
          <t>—</t>
        </is>
      </c>
    </row>
    <row r="206">
      <c r="A206" s="0" t="inlineStr">
        <is>
          <t>20260617</t>
        </is>
      </c>
      <c r="B206" s="0" t="inlineStr">
        <is>
          <t>10年国债ETF</t>
        </is>
      </c>
      <c r="C206" s="0" t="inlineStr">
        <is>
          <t>511260</t>
        </is>
      </c>
      <c r="D206" s="0" t="n">
        <v>3700</v>
      </c>
      <c r="E206" s="0" t="n">
        <v>135.645</v>
      </c>
      <c r="F206" s="0" t="n">
        <v>501886.5</v>
      </c>
      <c r="G206" s="0" t="n">
        <v>135.971</v>
      </c>
      <c r="H206" s="0" t="n">
        <v>0.001</v>
      </c>
      <c r="I206" s="0" t="n">
        <v>503092.7</v>
      </c>
      <c r="J206" s="0" t="n">
        <v>1206.2</v>
      </c>
      <c r="K206" s="0" t="n">
        <v>0.0024</v>
      </c>
      <c r="L206" s="0" t="n">
        <v>0.1</v>
      </c>
      <c r="M206" s="0" t="n">
        <v>0.1431</v>
      </c>
      <c r="N206" s="0" t="n">
        <v>0.0431</v>
      </c>
      <c r="O206" s="0" t="inlineStr">
        <is>
          <t>—</t>
        </is>
      </c>
    </row>
    <row r="207">
      <c r="A207" s="0" t="inlineStr">
        <is>
          <t>20260617</t>
        </is>
      </c>
      <c r="B207" s="0" t="inlineStr">
        <is>
          <t>5年国债ETF</t>
        </is>
      </c>
      <c r="C207" s="0" t="inlineStr">
        <is>
          <t>511010</t>
        </is>
      </c>
      <c r="D207" s="0" t="n">
        <v>3500</v>
      </c>
      <c r="E207" s="0" t="n">
        <v>141.2121</v>
      </c>
      <c r="F207" s="0" t="n">
        <v>494242.35</v>
      </c>
      <c r="G207" s="0" t="n">
        <v>141.348</v>
      </c>
      <c r="H207" s="0" t="n">
        <v>0.0003</v>
      </c>
      <c r="I207" s="0" t="n">
        <v>494718</v>
      </c>
      <c r="J207" s="0" t="n">
        <v>475.65</v>
      </c>
      <c r="K207" s="0" t="n">
        <v>0.001</v>
      </c>
      <c r="L207" s="0" t="n">
        <v>0.1</v>
      </c>
      <c r="M207" s="0" t="n">
        <v>0.1407</v>
      </c>
      <c r="N207" s="0" t="n">
        <v>0.0407</v>
      </c>
      <c r="O207" s="0" t="inlineStr">
        <is>
          <t>—</t>
        </is>
      </c>
    </row>
    <row r="208">
      <c r="A208" s="0" t="inlineStr">
        <is>
          <t>20260617</t>
        </is>
      </c>
      <c r="B208" s="0" t="inlineStr">
        <is>
          <t>短融ETF</t>
        </is>
      </c>
      <c r="C208" s="0" t="inlineStr">
        <is>
          <t>511360</t>
        </is>
      </c>
      <c r="D208" s="0" t="n">
        <v>2200</v>
      </c>
      <c r="E208" s="0" t="n">
        <v>113.462</v>
      </c>
      <c r="F208" s="0" t="n">
        <v>249616.4</v>
      </c>
      <c r="G208" s="0" t="n">
        <v>113.551</v>
      </c>
      <c r="I208" s="0" t="n">
        <v>249812.2</v>
      </c>
      <c r="J208" s="0" t="n">
        <v>195.8</v>
      </c>
      <c r="K208" s="0" t="n">
        <v>0.0008</v>
      </c>
      <c r="L208" s="0" t="n">
        <v>0.05</v>
      </c>
      <c r="M208" s="0" t="n">
        <v>0.0711</v>
      </c>
      <c r="N208" s="0" t="n">
        <v>0.0211</v>
      </c>
      <c r="O208" s="0" t="inlineStr">
        <is>
          <t>—</t>
        </is>
      </c>
    </row>
    <row r="209">
      <c r="A209" s="0" t="inlineStr">
        <is>
          <t>20260617</t>
        </is>
      </c>
      <c r="B209" s="0" t="inlineStr">
        <is>
          <t>黄金ETF</t>
        </is>
      </c>
      <c r="C209" s="0" t="inlineStr">
        <is>
          <t>518880</t>
        </is>
      </c>
      <c r="D209" s="0" t="n">
        <v>55800</v>
      </c>
      <c r="E209" s="0" t="n">
        <v>9.232699999999999</v>
      </c>
      <c r="F209" s="0" t="n">
        <v>515184.66</v>
      </c>
      <c r="G209" s="0" t="n">
        <v>8.957000000000001</v>
      </c>
      <c r="H209" s="0" t="n">
        <v>0.0009</v>
      </c>
      <c r="I209" s="0" t="n">
        <v>499800.6</v>
      </c>
      <c r="J209" s="0" t="n">
        <v>-15384.06</v>
      </c>
      <c r="K209" s="0" t="n">
        <v>-0.0299</v>
      </c>
      <c r="L209" s="0" t="n">
        <v>0.15</v>
      </c>
      <c r="M209" s="0" t="n">
        <v>0.1422</v>
      </c>
      <c r="N209" s="0" t="n">
        <v>-0.0078</v>
      </c>
      <c r="O209" s="0" t="inlineStr">
        <is>
          <t>—</t>
        </is>
      </c>
    </row>
    <row r="210">
      <c r="A210" s="0" t="inlineStr">
        <is>
          <t>20260617</t>
        </is>
      </c>
      <c r="B210" s="0" t="inlineStr">
        <is>
          <t>银华日利ETF</t>
        </is>
      </c>
      <c r="C210" s="0" t="inlineStr">
        <is>
          <t>511880</t>
        </is>
      </c>
      <c r="G210" s="0" t="n">
        <v>100.524</v>
      </c>
      <c r="I210" s="0" t="n">
        <v>0</v>
      </c>
      <c r="J210" s="0" t="n">
        <v>0</v>
      </c>
      <c r="K210" s="0" t="n">
        <v>0</v>
      </c>
      <c r="L210" s="0" t="n">
        <v>0.05</v>
      </c>
      <c r="M210" s="0" t="n">
        <v>0</v>
      </c>
      <c r="N210" s="0" t="n">
        <v>-0.05</v>
      </c>
      <c r="O210" s="0" t="inlineStr">
        <is>
          <t>—</t>
        </is>
      </c>
    </row>
    <row r="211">
      <c r="A211" s="0" t="inlineStr">
        <is>
          <t>20260617</t>
        </is>
      </c>
      <c r="B211" s="0" t="inlineStr">
        <is>
          <t>华宝添益ETF</t>
        </is>
      </c>
      <c r="C211" s="0" t="inlineStr">
        <is>
          <t>511990</t>
        </is>
      </c>
      <c r="G211" s="0" t="n">
        <v>99.996</v>
      </c>
      <c r="I211" s="0" t="n">
        <v>0</v>
      </c>
      <c r="J211" s="0" t="n">
        <v>0</v>
      </c>
      <c r="K211" s="0" t="n">
        <v>0</v>
      </c>
      <c r="L211" s="0" t="n">
        <v>0.05</v>
      </c>
      <c r="M211" s="0" t="n">
        <v>0</v>
      </c>
      <c r="N211" s="0" t="n">
        <v>-0.05</v>
      </c>
      <c r="O211" s="0" t="inlineStr">
        <is>
          <t>—</t>
        </is>
      </c>
    </row>
    <row r="212">
      <c r="A212" s="0" t="inlineStr">
        <is>
          <t>20260618</t>
        </is>
      </c>
      <c r="B212" s="0" t="inlineStr">
        <is>
          <t>沪深300ETF</t>
        </is>
      </c>
      <c r="C212" s="0" t="inlineStr">
        <is>
          <t>510300</t>
        </is>
      </c>
      <c r="D212" s="0" t="n">
        <v>153800</v>
      </c>
      <c r="E212" s="0" t="n">
        <v>4.885</v>
      </c>
      <c r="F212" s="0" t="n">
        <v>751313</v>
      </c>
      <c r="G212" s="0" t="n">
        <v>4.984</v>
      </c>
      <c r="H212" s="0" t="n">
        <v>0.0052</v>
      </c>
      <c r="I212" s="0" t="n">
        <v>766539.2</v>
      </c>
      <c r="J212" s="0" t="n">
        <v>15226.2</v>
      </c>
      <c r="K212" s="0" t="n">
        <v>0.0203</v>
      </c>
      <c r="L212" s="0" t="n">
        <v>0.15</v>
      </c>
      <c r="M212" s="0" t="n">
        <v>0.2177</v>
      </c>
      <c r="N212" s="0" t="n">
        <v>0.0677</v>
      </c>
      <c r="O212" s="0" t="inlineStr">
        <is>
          <t>📊权重预警偏离+6.8%</t>
        </is>
      </c>
    </row>
    <row r="213">
      <c r="A213" s="0" t="inlineStr">
        <is>
          <t>20260618</t>
        </is>
      </c>
      <c r="B213" s="0" t="inlineStr">
        <is>
          <t>中证500ETF</t>
        </is>
      </c>
      <c r="C213" s="0" t="inlineStr">
        <is>
          <t>510500</t>
        </is>
      </c>
      <c r="D213" s="0" t="n">
        <v>20000</v>
      </c>
      <c r="E213" s="0" t="n">
        <v>8.696</v>
      </c>
      <c r="F213" s="0" t="n">
        <v>173920</v>
      </c>
      <c r="G213" s="0" t="n">
        <v>8.827999999999999</v>
      </c>
      <c r="H213" s="0" t="n">
        <v>0.0074</v>
      </c>
      <c r="I213" s="0" t="n">
        <v>176560</v>
      </c>
      <c r="J213" s="0" t="n">
        <v>2640</v>
      </c>
      <c r="K213" s="0" t="n">
        <v>0.0152</v>
      </c>
      <c r="L213" s="0" t="n">
        <v>0.1</v>
      </c>
      <c r="M213" s="0" t="n">
        <v>0.0501</v>
      </c>
      <c r="N213" s="0" t="n">
        <v>-0.0499</v>
      </c>
      <c r="O213" s="0" t="inlineStr">
        <is>
          <t>📊权重预警偏离-5.0%</t>
        </is>
      </c>
    </row>
    <row r="214">
      <c r="A214" s="0" t="inlineStr">
        <is>
          <t>20260618</t>
        </is>
      </c>
      <c r="B214" s="0" t="inlineStr">
        <is>
          <t>科创50ETF</t>
        </is>
      </c>
      <c r="C214" s="0" t="inlineStr">
        <is>
          <t>588050</t>
        </is>
      </c>
      <c r="D214" s="0" t="n">
        <v>60000</v>
      </c>
      <c r="E214" s="0" t="n">
        <v>1.838</v>
      </c>
      <c r="F214" s="0" t="n">
        <v>110280</v>
      </c>
      <c r="G214" s="0" t="n">
        <v>1.958</v>
      </c>
      <c r="H214" s="0" t="n">
        <v>0.0398</v>
      </c>
      <c r="I214" s="0" t="n">
        <v>117480</v>
      </c>
      <c r="J214" s="0" t="n">
        <v>7200</v>
      </c>
      <c r="K214" s="0" t="n">
        <v>0.0653</v>
      </c>
      <c r="L214" s="0" t="n">
        <v>0.05</v>
      </c>
      <c r="M214" s="0" t="n">
        <v>0.0334</v>
      </c>
      <c r="N214" s="0" t="n">
        <v>-0.0166</v>
      </c>
      <c r="O214" s="0" t="inlineStr">
        <is>
          <t>—</t>
        </is>
      </c>
    </row>
    <row r="215">
      <c r="A215" s="0" t="inlineStr">
        <is>
          <t>20260618</t>
        </is>
      </c>
      <c r="B215" s="0" t="inlineStr">
        <is>
          <t>创业板ETF</t>
        </is>
      </c>
      <c r="C215" s="0" t="inlineStr">
        <is>
          <t>159915</t>
        </is>
      </c>
      <c r="D215" s="0" t="n">
        <v>63000</v>
      </c>
      <c r="E215" s="0" t="n">
        <v>3.968</v>
      </c>
      <c r="F215" s="0" t="n">
        <v>249984</v>
      </c>
      <c r="G215" s="0" t="n">
        <v>4.269</v>
      </c>
      <c r="H215" s="0" t="n">
        <v>0.0206</v>
      </c>
      <c r="I215" s="0" t="n">
        <v>268947</v>
      </c>
      <c r="J215" s="0" t="n">
        <v>18963</v>
      </c>
      <c r="K215" s="0" t="n">
        <v>0.0759</v>
      </c>
      <c r="L215" s="0" t="n">
        <v>0.05</v>
      </c>
      <c r="M215" s="0" t="n">
        <v>0.0764</v>
      </c>
      <c r="N215" s="0" t="n">
        <v>0.0264</v>
      </c>
      <c r="O215" s="0" t="inlineStr">
        <is>
          <t>🟢止盈第一档：浮盈7.6% &gt;= 7%，减仓20%</t>
        </is>
      </c>
    </row>
    <row r="216">
      <c r="A216" s="0" t="inlineStr">
        <is>
          <t>20260618</t>
        </is>
      </c>
      <c r="B216" s="0" t="inlineStr">
        <is>
          <t>红利低波ETF</t>
        </is>
      </c>
      <c r="C216" s="0" t="inlineStr">
        <is>
          <t>512890</t>
        </is>
      </c>
      <c r="D216" s="0" t="n">
        <v>218000</v>
      </c>
      <c r="E216" s="0" t="n">
        <v>1.15</v>
      </c>
      <c r="F216" s="0" t="n">
        <v>250700</v>
      </c>
      <c r="G216" s="0" t="n">
        <v>1.115</v>
      </c>
      <c r="H216" s="0" t="n">
        <v>-0.0219</v>
      </c>
      <c r="I216" s="0" t="n">
        <v>243070</v>
      </c>
      <c r="J216" s="0" t="n">
        <v>-7630</v>
      </c>
      <c r="K216" s="0" t="n">
        <v>-0.0304</v>
      </c>
      <c r="L216" s="0" t="n">
        <v>0.05</v>
      </c>
      <c r="M216" s="0" t="n">
        <v>0.06900000000000001</v>
      </c>
      <c r="N216" s="0" t="n">
        <v>0.019</v>
      </c>
      <c r="O216" s="0" t="inlineStr">
        <is>
          <t>—</t>
        </is>
      </c>
    </row>
    <row r="217">
      <c r="A217" s="0" t="inlineStr">
        <is>
          <t>20260618</t>
        </is>
      </c>
      <c r="B217" s="0" t="inlineStr">
        <is>
          <t>可转债ETF</t>
        </is>
      </c>
      <c r="C217" s="0" t="inlineStr">
        <is>
          <t>511380</t>
        </is>
      </c>
      <c r="D217" s="0" t="n">
        <v>14500</v>
      </c>
      <c r="E217" s="0" t="n">
        <v>13.8644</v>
      </c>
      <c r="F217" s="0" t="n">
        <v>201033.8</v>
      </c>
      <c r="G217" s="0" t="n">
        <v>14.067</v>
      </c>
      <c r="H217" s="0" t="n">
        <v>-0.0064</v>
      </c>
      <c r="I217" s="0" t="n">
        <v>203971.5</v>
      </c>
      <c r="J217" s="0" t="n">
        <v>2937.7</v>
      </c>
      <c r="K217" s="0" t="n">
        <v>0.0146</v>
      </c>
      <c r="L217" s="0" t="n">
        <v>0.1</v>
      </c>
      <c r="M217" s="0" t="n">
        <v>0.0579</v>
      </c>
      <c r="N217" s="0" t="n">
        <v>-0.0421</v>
      </c>
      <c r="O217" s="0" t="inlineStr">
        <is>
          <t>📊权重预警偏离-4.2%</t>
        </is>
      </c>
    </row>
    <row r="218">
      <c r="A218" s="0" t="inlineStr">
        <is>
          <t>20260618</t>
        </is>
      </c>
      <c r="B218" s="0" t="inlineStr">
        <is>
          <t>10年国债ETF</t>
        </is>
      </c>
      <c r="C218" s="0" t="inlineStr">
        <is>
          <t>511260</t>
        </is>
      </c>
      <c r="D218" s="0" t="n">
        <v>3700</v>
      </c>
      <c r="E218" s="0" t="n">
        <v>135.645</v>
      </c>
      <c r="F218" s="0" t="n">
        <v>501886.5</v>
      </c>
      <c r="G218" s="0" t="n">
        <v>135.984</v>
      </c>
      <c r="H218" s="0" t="n">
        <v>0.0001</v>
      </c>
      <c r="I218" s="0" t="n">
        <v>503140.8</v>
      </c>
      <c r="J218" s="0" t="n">
        <v>1254.3</v>
      </c>
      <c r="K218" s="0" t="n">
        <v>0.0025</v>
      </c>
      <c r="L218" s="0" t="n">
        <v>0.1</v>
      </c>
      <c r="M218" s="0" t="n">
        <v>0.1429</v>
      </c>
      <c r="N218" s="0" t="n">
        <v>0.0429</v>
      </c>
      <c r="O218" s="0" t="inlineStr">
        <is>
          <t>📊权重预警偏离+4.3%</t>
        </is>
      </c>
    </row>
    <row r="219">
      <c r="A219" s="0" t="inlineStr">
        <is>
          <t>20260618</t>
        </is>
      </c>
      <c r="B219" s="0" t="inlineStr">
        <is>
          <t>5年国债ETF</t>
        </is>
      </c>
      <c r="C219" s="0" t="inlineStr">
        <is>
          <t>511010</t>
        </is>
      </c>
      <c r="D219" s="0" t="n">
        <v>3500</v>
      </c>
      <c r="E219" s="0" t="n">
        <v>141.2121</v>
      </c>
      <c r="F219" s="0" t="n">
        <v>494242.35</v>
      </c>
      <c r="G219" s="0" t="n">
        <v>141.431</v>
      </c>
      <c r="H219" s="0" t="n">
        <v>0.0005999999999999999</v>
      </c>
      <c r="I219" s="0" t="n">
        <v>495008.5</v>
      </c>
      <c r="J219" s="0" t="n">
        <v>766.15</v>
      </c>
      <c r="K219" s="0" t="n">
        <v>0.0016</v>
      </c>
      <c r="L219" s="0" t="n">
        <v>0.1</v>
      </c>
      <c r="M219" s="0" t="n">
        <v>0.1406</v>
      </c>
      <c r="N219" s="0" t="n">
        <v>0.0406</v>
      </c>
      <c r="O219" s="0" t="inlineStr">
        <is>
          <t>📊权重预警偏离+4.1%</t>
        </is>
      </c>
    </row>
    <row r="220">
      <c r="A220" s="0" t="inlineStr">
        <is>
          <t>20260618</t>
        </is>
      </c>
      <c r="B220" s="0" t="inlineStr">
        <is>
          <t>短融ETF</t>
        </is>
      </c>
      <c r="C220" s="0" t="inlineStr">
        <is>
          <t>511360</t>
        </is>
      </c>
      <c r="D220" s="0" t="n">
        <v>2200</v>
      </c>
      <c r="E220" s="0" t="n">
        <v>113.462</v>
      </c>
      <c r="F220" s="0" t="n">
        <v>249616.4</v>
      </c>
      <c r="G220" s="0" t="n">
        <v>113.557</v>
      </c>
      <c r="H220" s="0" t="n">
        <v>0.0001</v>
      </c>
      <c r="I220" s="0" t="n">
        <v>249825.4</v>
      </c>
      <c r="J220" s="0" t="n">
        <v>209</v>
      </c>
      <c r="K220" s="0" t="n">
        <v>0.0008</v>
      </c>
      <c r="L220" s="0" t="n">
        <v>0.05</v>
      </c>
      <c r="M220" s="0" t="n">
        <v>0.0709</v>
      </c>
      <c r="N220" s="0" t="n">
        <v>0.0209</v>
      </c>
      <c r="O220" s="0" t="inlineStr">
        <is>
          <t>—</t>
        </is>
      </c>
    </row>
    <row r="221">
      <c r="A221" s="0" t="inlineStr">
        <is>
          <t>20260618</t>
        </is>
      </c>
      <c r="B221" s="0" t="inlineStr">
        <is>
          <t>黄金ETF</t>
        </is>
      </c>
      <c r="C221" s="0" t="inlineStr">
        <is>
          <t>518880</t>
        </is>
      </c>
      <c r="D221" s="0" t="n">
        <v>55800</v>
      </c>
      <c r="E221" s="0" t="n">
        <v>9.232699999999999</v>
      </c>
      <c r="F221" s="0" t="n">
        <v>515184.66</v>
      </c>
      <c r="G221" s="0" t="n">
        <v>8.907999999999999</v>
      </c>
      <c r="H221" s="0" t="n">
        <v>-0.0055</v>
      </c>
      <c r="I221" s="0" t="n">
        <v>497066.4</v>
      </c>
      <c r="J221" s="0" t="n">
        <v>-18118.26</v>
      </c>
      <c r="K221" s="0" t="n">
        <v>-0.0352</v>
      </c>
      <c r="L221" s="0" t="n">
        <v>0.15</v>
      </c>
      <c r="M221" s="0" t="n">
        <v>0.1411</v>
      </c>
      <c r="N221" s="0" t="n">
        <v>-0.0089</v>
      </c>
      <c r="O221" s="0" t="inlineStr">
        <is>
          <t>—</t>
        </is>
      </c>
    </row>
    <row r="222">
      <c r="A222" s="0" t="inlineStr">
        <is>
          <t>20260618</t>
        </is>
      </c>
      <c r="B222" s="0" t="inlineStr">
        <is>
          <t>银华日利ETF</t>
        </is>
      </c>
      <c r="C222" s="0" t="inlineStr">
        <is>
          <t>511880</t>
        </is>
      </c>
      <c r="G222" s="0" t="n">
        <v>100.533</v>
      </c>
      <c r="H222" s="0" t="n">
        <v>0.0001</v>
      </c>
      <c r="I222" s="0" t="n">
        <v>0</v>
      </c>
      <c r="J222" s="0" t="n">
        <v>0</v>
      </c>
      <c r="K222" s="0" t="n">
        <v>0</v>
      </c>
      <c r="L222" s="0" t="n">
        <v>0.05</v>
      </c>
      <c r="M222" s="0" t="n">
        <v>0</v>
      </c>
      <c r="N222" s="0" t="n">
        <v>-0.05</v>
      </c>
      <c r="O222" s="0" t="inlineStr">
        <is>
          <t>📊权重预警偏离-5.0%</t>
        </is>
      </c>
    </row>
    <row r="223">
      <c r="A223" s="0" t="inlineStr">
        <is>
          <t>20260618</t>
        </is>
      </c>
      <c r="B223" s="0" t="inlineStr">
        <is>
          <t>华宝添益ETF</t>
        </is>
      </c>
      <c r="C223" s="0" t="inlineStr">
        <is>
          <t>511990</t>
        </is>
      </c>
      <c r="G223" s="0" t="n">
        <v>100</v>
      </c>
      <c r="I223" s="0" t="n">
        <v>0</v>
      </c>
      <c r="J223" s="0" t="n">
        <v>0</v>
      </c>
      <c r="K223" s="0" t="n">
        <v>0</v>
      </c>
      <c r="L223" s="0" t="n">
        <v>0.05</v>
      </c>
      <c r="M223" s="0" t="n">
        <v>0</v>
      </c>
      <c r="N223" s="0" t="n">
        <v>-0.05</v>
      </c>
      <c r="O223" s="0" t="inlineStr">
        <is>
          <t>📊权重预警偏离-5.0%</t>
        </is>
      </c>
    </row>
    <row r="224">
      <c r="A224" s="0" t="inlineStr">
        <is>
          <t>20260605</t>
        </is>
      </c>
      <c r="B224" s="0" t="inlineStr">
        <is>
          <t>沪深300ETF</t>
        </is>
      </c>
      <c r="C224" s="0" t="inlineStr">
        <is>
          <t>510300</t>
        </is>
      </c>
      <c r="D224" s="0" t="n">
        <v>153800</v>
      </c>
      <c r="E224" s="0" t="n">
        <v>4.885</v>
      </c>
      <c r="F224" s="0" t="n">
        <v>751313</v>
      </c>
      <c r="G224" s="0" t="n">
        <v>4.843</v>
      </c>
      <c r="H224" s="0" t="n">
        <v>-0.0169</v>
      </c>
      <c r="I224" s="0" t="n">
        <v>744853.4</v>
      </c>
      <c r="J224" s="0" t="n">
        <v>-6459.6</v>
      </c>
      <c r="K224" s="0" t="n">
        <v>-0.0086</v>
      </c>
      <c r="L224" s="0" t="n">
        <v>0.15</v>
      </c>
      <c r="M224" s="0" t="n">
        <v>0.2137</v>
      </c>
      <c r="N224" s="0" t="n">
        <v>0.06370000000000001</v>
      </c>
      <c r="O224" s="0" t="inlineStr">
        <is>
          <t>—</t>
        </is>
      </c>
    </row>
    <row r="225">
      <c r="A225" s="0" t="inlineStr">
        <is>
          <t>20260605</t>
        </is>
      </c>
      <c r="B225" s="0" t="inlineStr">
        <is>
          <t>中证500ETF</t>
        </is>
      </c>
      <c r="C225" s="0" t="inlineStr">
        <is>
          <t>510500</t>
        </is>
      </c>
      <c r="D225" s="0" t="n">
        <v>20000</v>
      </c>
      <c r="E225" s="0" t="n">
        <v>8.696</v>
      </c>
      <c r="F225" s="0" t="n">
        <v>173920</v>
      </c>
      <c r="G225" s="0" t="n">
        <v>8.339</v>
      </c>
      <c r="H225" s="0" t="n">
        <v>-0.0129</v>
      </c>
      <c r="I225" s="0" t="n">
        <v>166780</v>
      </c>
      <c r="J225" s="0" t="n">
        <v>-7140</v>
      </c>
      <c r="K225" s="0" t="n">
        <v>-0.0411</v>
      </c>
      <c r="L225" s="0" t="n">
        <v>0.1</v>
      </c>
      <c r="M225" s="0" t="n">
        <v>0.0479</v>
      </c>
      <c r="N225" s="0" t="n">
        <v>-0.0521</v>
      </c>
      <c r="O225" s="0" t="inlineStr">
        <is>
          <t>—</t>
        </is>
      </c>
    </row>
    <row r="226">
      <c r="A226" s="0" t="inlineStr">
        <is>
          <t>20260605</t>
        </is>
      </c>
      <c r="B226" s="0" t="inlineStr">
        <is>
          <t>科创50ETF</t>
        </is>
      </c>
      <c r="C226" s="0" t="inlineStr">
        <is>
          <t>588050</t>
        </is>
      </c>
      <c r="D226" s="0" t="n">
        <v>60000</v>
      </c>
      <c r="E226" s="0" t="n">
        <v>1.838</v>
      </c>
      <c r="F226" s="0" t="n">
        <v>110280</v>
      </c>
      <c r="G226" s="0" t="n">
        <v>1.714</v>
      </c>
      <c r="H226" s="0" t="n">
        <v>-0.0387</v>
      </c>
      <c r="I226" s="0" t="n">
        <v>102840</v>
      </c>
      <c r="J226" s="0" t="n">
        <v>-7440</v>
      </c>
      <c r="K226" s="0" t="n">
        <v>-0.0675</v>
      </c>
      <c r="L226" s="0" t="n">
        <v>0.05</v>
      </c>
      <c r="M226" s="0" t="n">
        <v>0.0295</v>
      </c>
      <c r="N226" s="0" t="n">
        <v>-0.0205</v>
      </c>
      <c r="O226" s="0" t="inlineStr">
        <is>
          <t>—</t>
        </is>
      </c>
    </row>
    <row r="227">
      <c r="A227" s="0" t="inlineStr">
        <is>
          <t>20260605</t>
        </is>
      </c>
      <c r="B227" s="0" t="inlineStr">
        <is>
          <t>创业板ETF</t>
        </is>
      </c>
      <c r="C227" s="0" t="inlineStr">
        <is>
          <t>159915</t>
        </is>
      </c>
      <c r="D227" s="0" t="n">
        <v>63000</v>
      </c>
      <c r="E227" s="0" t="n">
        <v>3.968</v>
      </c>
      <c r="F227" s="0" t="n">
        <v>249984</v>
      </c>
      <c r="G227" s="0" t="n">
        <v>3.977</v>
      </c>
      <c r="H227" s="0" t="n">
        <v>-0.03</v>
      </c>
      <c r="I227" s="0" t="n">
        <v>250551</v>
      </c>
      <c r="J227" s="0" t="n">
        <v>567</v>
      </c>
      <c r="K227" s="0" t="n">
        <v>0.0023</v>
      </c>
      <c r="L227" s="0" t="n">
        <v>0.05</v>
      </c>
      <c r="M227" s="0" t="n">
        <v>0.07190000000000001</v>
      </c>
      <c r="N227" s="0" t="n">
        <v>0.0219</v>
      </c>
      <c r="O227" s="0" t="inlineStr">
        <is>
          <t>—</t>
        </is>
      </c>
    </row>
    <row r="228">
      <c r="A228" s="0" t="inlineStr">
        <is>
          <t>20260605</t>
        </is>
      </c>
      <c r="B228" s="0" t="inlineStr">
        <is>
          <t>红利低波ETF</t>
        </is>
      </c>
      <c r="C228" s="0" t="inlineStr">
        <is>
          <t>512890</t>
        </is>
      </c>
      <c r="D228" s="0" t="n">
        <v>218000</v>
      </c>
      <c r="E228" s="0" t="n">
        <v>1.15</v>
      </c>
      <c r="F228" s="0" t="n">
        <v>250700</v>
      </c>
      <c r="G228" s="0" t="n">
        <v>1.159</v>
      </c>
      <c r="H228" s="0" t="n">
        <v>0.0009</v>
      </c>
      <c r="I228" s="0" t="n">
        <v>252662</v>
      </c>
      <c r="J228" s="0" t="n">
        <v>1962</v>
      </c>
      <c r="K228" s="0" t="n">
        <v>0.0078</v>
      </c>
      <c r="L228" s="0" t="n">
        <v>0.05</v>
      </c>
      <c r="M228" s="0" t="n">
        <v>0.0725</v>
      </c>
      <c r="N228" s="0" t="n">
        <v>0.0225</v>
      </c>
      <c r="O228" s="0" t="inlineStr">
        <is>
          <t>—</t>
        </is>
      </c>
    </row>
    <row r="229">
      <c r="A229" s="0" t="inlineStr">
        <is>
          <t>20260605</t>
        </is>
      </c>
      <c r="B229" s="0" t="inlineStr">
        <is>
          <t>可转债ETF</t>
        </is>
      </c>
      <c r="C229" s="0" t="inlineStr">
        <is>
          <t>511380</t>
        </is>
      </c>
      <c r="D229" s="0" t="n">
        <v>14500</v>
      </c>
      <c r="E229" s="0" t="n">
        <v>13.8644</v>
      </c>
      <c r="F229" s="0" t="n">
        <v>201033.8</v>
      </c>
      <c r="G229" s="0" t="n">
        <v>13.948</v>
      </c>
      <c r="H229" s="0" t="n">
        <v>-0.0036</v>
      </c>
      <c r="I229" s="0" t="n">
        <v>202246</v>
      </c>
      <c r="J229" s="0" t="n">
        <v>1212.2</v>
      </c>
      <c r="K229" s="0" t="n">
        <v>0.006</v>
      </c>
      <c r="L229" s="0" t="n">
        <v>0.1</v>
      </c>
      <c r="M229" s="0" t="n">
        <v>0.058</v>
      </c>
      <c r="N229" s="0" t="n">
        <v>-0.042</v>
      </c>
      <c r="O229" s="0" t="inlineStr">
        <is>
          <t>—</t>
        </is>
      </c>
    </row>
    <row r="230">
      <c r="A230" s="0" t="inlineStr">
        <is>
          <t>20260605</t>
        </is>
      </c>
      <c r="B230" s="0" t="inlineStr">
        <is>
          <t>10年国债ETF</t>
        </is>
      </c>
      <c r="C230" s="0" t="inlineStr">
        <is>
          <t>511260</t>
        </is>
      </c>
      <c r="D230" s="0" t="n">
        <v>3700</v>
      </c>
      <c r="E230" s="0" t="n">
        <v>135.645</v>
      </c>
      <c r="F230" s="0" t="n">
        <v>501886.5</v>
      </c>
      <c r="G230" s="0" t="n">
        <v>136.071</v>
      </c>
      <c r="H230" s="0" t="n">
        <v>-0.0005</v>
      </c>
      <c r="I230" s="0" t="n">
        <v>503462.7</v>
      </c>
      <c r="J230" s="0" t="n">
        <v>1576.2</v>
      </c>
      <c r="K230" s="0" t="n">
        <v>0.0031</v>
      </c>
      <c r="L230" s="0" t="n">
        <v>0.1</v>
      </c>
      <c r="M230" s="0" t="n">
        <v>0.1445</v>
      </c>
      <c r="N230" s="0" t="n">
        <v>0.0445</v>
      </c>
      <c r="O230" s="0" t="inlineStr">
        <is>
          <t>—</t>
        </is>
      </c>
    </row>
    <row r="231">
      <c r="A231" s="0" t="inlineStr">
        <is>
          <t>20260605</t>
        </is>
      </c>
      <c r="B231" s="0" t="inlineStr">
        <is>
          <t>5年国债ETF</t>
        </is>
      </c>
      <c r="C231" s="0" t="inlineStr">
        <is>
          <t>511010</t>
        </is>
      </c>
      <c r="D231" s="0" t="n">
        <v>3500</v>
      </c>
      <c r="E231" s="0" t="n">
        <v>141.2121</v>
      </c>
      <c r="F231" s="0" t="n">
        <v>494242.35</v>
      </c>
      <c r="G231" s="0" t="n">
        <v>141.5</v>
      </c>
      <c r="I231" s="0" t="n">
        <v>495250</v>
      </c>
      <c r="J231" s="0" t="n">
        <v>1007.65</v>
      </c>
      <c r="K231" s="0" t="n">
        <v>0.002</v>
      </c>
      <c r="L231" s="0" t="n">
        <v>0.1</v>
      </c>
      <c r="M231" s="0" t="n">
        <v>0.1421</v>
      </c>
      <c r="N231" s="0" t="n">
        <v>0.0421</v>
      </c>
      <c r="O231" s="0" t="inlineStr">
        <is>
          <t>—</t>
        </is>
      </c>
    </row>
    <row r="232">
      <c r="A232" s="0" t="inlineStr">
        <is>
          <t>20260605</t>
        </is>
      </c>
      <c r="B232" s="0" t="inlineStr">
        <is>
          <t>短融ETF</t>
        </is>
      </c>
      <c r="C232" s="0" t="inlineStr">
        <is>
          <t>511360</t>
        </is>
      </c>
      <c r="D232" s="0" t="n">
        <v>2200</v>
      </c>
      <c r="E232" s="0" t="n">
        <v>113.462</v>
      </c>
      <c r="F232" s="0" t="n">
        <v>249616.4</v>
      </c>
      <c r="G232" s="0" t="n">
        <v>113.551</v>
      </c>
      <c r="H232" s="0" t="n">
        <v>0.0001</v>
      </c>
      <c r="I232" s="0" t="n">
        <v>249812.2</v>
      </c>
      <c r="J232" s="0" t="n">
        <v>195.8</v>
      </c>
      <c r="K232" s="0" t="n">
        <v>0.0008</v>
      </c>
      <c r="L232" s="0" t="n">
        <v>0.05</v>
      </c>
      <c r="M232" s="0" t="n">
        <v>0.0717</v>
      </c>
      <c r="N232" s="0" t="n">
        <v>0.0217</v>
      </c>
      <c r="O232" s="0" t="inlineStr">
        <is>
          <t>—</t>
        </is>
      </c>
    </row>
    <row r="233">
      <c r="A233" s="0" t="inlineStr">
        <is>
          <t>20260605</t>
        </is>
      </c>
      <c r="B233" s="0" t="inlineStr">
        <is>
          <t>黄金ETF</t>
        </is>
      </c>
      <c r="C233" s="0" t="inlineStr">
        <is>
          <t>518880</t>
        </is>
      </c>
      <c r="D233" s="0" t="n">
        <v>55800</v>
      </c>
      <c r="E233" s="0" t="n">
        <v>9.232699999999999</v>
      </c>
      <c r="F233" s="0" t="n">
        <v>515184.66</v>
      </c>
      <c r="G233" s="0" t="n">
        <v>9.252000000000001</v>
      </c>
      <c r="H233" s="0" t="n">
        <v>-0.0041</v>
      </c>
      <c r="I233" s="0" t="n">
        <v>516261.6</v>
      </c>
      <c r="J233" s="0" t="n">
        <v>1076.94</v>
      </c>
      <c r="K233" s="0" t="n">
        <v>0.0021</v>
      </c>
      <c r="L233" s="0" t="n">
        <v>0.15</v>
      </c>
      <c r="M233" s="0" t="n">
        <v>0.1482</v>
      </c>
      <c r="N233" s="0" t="n">
        <v>-0.0018</v>
      </c>
      <c r="O233" s="0" t="inlineStr">
        <is>
          <t>—</t>
        </is>
      </c>
    </row>
    <row r="234">
      <c r="A234" s="0" t="inlineStr">
        <is>
          <t>20260605</t>
        </is>
      </c>
      <c r="B234" s="0" t="inlineStr">
        <is>
          <t>银华日利ETF</t>
        </is>
      </c>
      <c r="C234" s="0" t="inlineStr">
        <is>
          <t>511880</t>
        </is>
      </c>
      <c r="G234" s="0" t="n">
        <v>100.523</v>
      </c>
      <c r="H234" s="0" t="n">
        <v>0.0001</v>
      </c>
      <c r="I234" s="0" t="n">
        <v>0</v>
      </c>
      <c r="J234" s="0" t="n">
        <v>0</v>
      </c>
      <c r="K234" s="0" t="n">
        <v>0</v>
      </c>
      <c r="L234" s="0" t="n">
        <v>0.05</v>
      </c>
      <c r="M234" s="0" t="n">
        <v>0</v>
      </c>
      <c r="N234" s="0" t="n">
        <v>-0.05</v>
      </c>
      <c r="O234" s="0" t="inlineStr">
        <is>
          <t>—</t>
        </is>
      </c>
    </row>
    <row r="235">
      <c r="A235" s="0" t="inlineStr">
        <is>
          <t>20260605</t>
        </is>
      </c>
      <c r="B235" s="0" t="inlineStr">
        <is>
          <t>华宝添益ETF</t>
        </is>
      </c>
      <c r="C235" s="0" t="inlineStr">
        <is>
          <t>511990</t>
        </is>
      </c>
      <c r="G235" s="0" t="n">
        <v>100.007</v>
      </c>
      <c r="H235" s="0" t="n">
        <v>0.0001</v>
      </c>
      <c r="I235" s="0" t="n">
        <v>0</v>
      </c>
      <c r="J235" s="0" t="n">
        <v>0</v>
      </c>
      <c r="K235" s="0" t="n">
        <v>0</v>
      </c>
      <c r="L235" s="0" t="n">
        <v>0.05</v>
      </c>
      <c r="M235" s="0" t="n">
        <v>0</v>
      </c>
      <c r="N235" s="0" t="n">
        <v>-0.05</v>
      </c>
      <c r="O235" s="0" t="inlineStr">
        <is>
          <t>—</t>
        </is>
      </c>
    </row>
    <row r="236">
      <c r="A236" s="0" t="inlineStr">
        <is>
          <t>20260608</t>
        </is>
      </c>
      <c r="B236" s="0" t="inlineStr">
        <is>
          <t>沪深300ETF</t>
        </is>
      </c>
      <c r="C236" s="0" t="inlineStr">
        <is>
          <t>510300</t>
        </is>
      </c>
      <c r="D236" s="0" t="n">
        <v>153800</v>
      </c>
      <c r="E236" s="0" t="n">
        <v>4.885</v>
      </c>
      <c r="F236" s="0" t="n">
        <v>751313</v>
      </c>
      <c r="G236" s="0" t="n">
        <v>4.739</v>
      </c>
      <c r="H236" s="0" t="n">
        <v>-0.0215</v>
      </c>
      <c r="I236" s="0" t="n">
        <v>728858.2</v>
      </c>
      <c r="J236" s="0" t="n">
        <v>-22454.8</v>
      </c>
      <c r="K236" s="0" t="n">
        <v>-0.0299</v>
      </c>
      <c r="L236" s="0" t="n">
        <v>0.15</v>
      </c>
      <c r="M236" s="0" t="n">
        <v>0.2124</v>
      </c>
      <c r="N236" s="0" t="n">
        <v>0.0624</v>
      </c>
      <c r="O236" s="0" t="inlineStr">
        <is>
          <t>—</t>
        </is>
      </c>
    </row>
    <row r="237">
      <c r="A237" s="0" t="inlineStr">
        <is>
          <t>20260608</t>
        </is>
      </c>
      <c r="B237" s="0" t="inlineStr">
        <is>
          <t>中证500ETF</t>
        </is>
      </c>
      <c r="C237" s="0" t="inlineStr">
        <is>
          <t>510500</t>
        </is>
      </c>
      <c r="D237" s="0" t="n">
        <v>20000</v>
      </c>
      <c r="E237" s="0" t="n">
        <v>8.696</v>
      </c>
      <c r="F237" s="0" t="n">
        <v>173920</v>
      </c>
      <c r="G237" s="0" t="n">
        <v>8.068</v>
      </c>
      <c r="H237" s="0" t="n">
        <v>-0.0325</v>
      </c>
      <c r="I237" s="0" t="n">
        <v>161360</v>
      </c>
      <c r="J237" s="0" t="n">
        <v>-12560</v>
      </c>
      <c r="K237" s="0" t="n">
        <v>-0.0722</v>
      </c>
      <c r="L237" s="0" t="n">
        <v>0.1</v>
      </c>
      <c r="M237" s="0" t="n">
        <v>0.047</v>
      </c>
      <c r="N237" s="0" t="n">
        <v>-0.053</v>
      </c>
      <c r="O237" s="0" t="inlineStr">
        <is>
          <t>—</t>
        </is>
      </c>
    </row>
    <row r="238">
      <c r="A238" s="0" t="inlineStr">
        <is>
          <t>20260608</t>
        </is>
      </c>
      <c r="B238" s="0" t="inlineStr">
        <is>
          <t>科创50ETF</t>
        </is>
      </c>
      <c r="C238" s="0" t="inlineStr">
        <is>
          <t>588050</t>
        </is>
      </c>
      <c r="D238" s="0" t="n">
        <v>60000</v>
      </c>
      <c r="E238" s="0" t="n">
        <v>1.838</v>
      </c>
      <c r="F238" s="0" t="n">
        <v>110280</v>
      </c>
      <c r="G238" s="0" t="n">
        <v>1.641</v>
      </c>
      <c r="H238" s="0" t="n">
        <v>-0.0426</v>
      </c>
      <c r="I238" s="0" t="n">
        <v>98460</v>
      </c>
      <c r="J238" s="0" t="n">
        <v>-11820</v>
      </c>
      <c r="K238" s="0" t="n">
        <v>-0.1072</v>
      </c>
      <c r="L238" s="0" t="n">
        <v>0.05</v>
      </c>
      <c r="M238" s="0" t="n">
        <v>0.0287</v>
      </c>
      <c r="N238" s="0" t="n">
        <v>-0.0213</v>
      </c>
      <c r="O238" s="0" t="inlineStr">
        <is>
          <t>—</t>
        </is>
      </c>
    </row>
    <row r="239">
      <c r="A239" s="0" t="inlineStr">
        <is>
          <t>20260608</t>
        </is>
      </c>
      <c r="B239" s="0" t="inlineStr">
        <is>
          <t>创业板ETF</t>
        </is>
      </c>
      <c r="C239" s="0" t="inlineStr">
        <is>
          <t>159915</t>
        </is>
      </c>
      <c r="D239" s="0" t="n">
        <v>63000</v>
      </c>
      <c r="E239" s="0" t="n">
        <v>3.968</v>
      </c>
      <c r="F239" s="0" t="n">
        <v>249984</v>
      </c>
      <c r="G239" s="0" t="n">
        <v>3.827</v>
      </c>
      <c r="H239" s="0" t="n">
        <v>-0.0377</v>
      </c>
      <c r="I239" s="0" t="n">
        <v>241101</v>
      </c>
      <c r="J239" s="0" t="n">
        <v>-8883</v>
      </c>
      <c r="K239" s="0" t="n">
        <v>-0.0355</v>
      </c>
      <c r="L239" s="0" t="n">
        <v>0.05</v>
      </c>
      <c r="M239" s="0" t="n">
        <v>0.0703</v>
      </c>
      <c r="N239" s="0" t="n">
        <v>0.0203</v>
      </c>
      <c r="O239" s="0" t="inlineStr">
        <is>
          <t>—</t>
        </is>
      </c>
    </row>
    <row r="240">
      <c r="A240" s="0" t="inlineStr">
        <is>
          <t>20260608</t>
        </is>
      </c>
      <c r="B240" s="0" t="inlineStr">
        <is>
          <t>红利低波ETF</t>
        </is>
      </c>
      <c r="C240" s="0" t="inlineStr">
        <is>
          <t>512890</t>
        </is>
      </c>
      <c r="D240" s="0" t="n">
        <v>218000</v>
      </c>
      <c r="E240" s="0" t="n">
        <v>1.15</v>
      </c>
      <c r="F240" s="0" t="n">
        <v>250700</v>
      </c>
      <c r="G240" s="0" t="n">
        <v>1.165</v>
      </c>
      <c r="H240" s="0" t="n">
        <v>0.0052</v>
      </c>
      <c r="I240" s="0" t="n">
        <v>253970</v>
      </c>
      <c r="J240" s="0" t="n">
        <v>3270</v>
      </c>
      <c r="K240" s="0" t="n">
        <v>0.013</v>
      </c>
      <c r="L240" s="0" t="n">
        <v>0.05</v>
      </c>
      <c r="M240" s="0" t="n">
        <v>0.074</v>
      </c>
      <c r="N240" s="0" t="n">
        <v>0.024</v>
      </c>
      <c r="O240" s="0" t="inlineStr">
        <is>
          <t>—</t>
        </is>
      </c>
    </row>
    <row r="241">
      <c r="A241" s="0" t="inlineStr">
        <is>
          <t>20260608</t>
        </is>
      </c>
      <c r="B241" s="0" t="inlineStr">
        <is>
          <t>可转债ETF</t>
        </is>
      </c>
      <c r="C241" s="0" t="inlineStr">
        <is>
          <t>511380</t>
        </is>
      </c>
      <c r="D241" s="0" t="n">
        <v>14500</v>
      </c>
      <c r="E241" s="0" t="n">
        <v>13.8644</v>
      </c>
      <c r="F241" s="0" t="n">
        <v>201033.8</v>
      </c>
      <c r="G241" s="0" t="n">
        <v>13.824</v>
      </c>
      <c r="H241" s="0" t="n">
        <v>-0.0089</v>
      </c>
      <c r="I241" s="0" t="n">
        <v>200448</v>
      </c>
      <c r="J241" s="0" t="n">
        <v>-585.8</v>
      </c>
      <c r="K241" s="0" t="n">
        <v>-0.0029</v>
      </c>
      <c r="L241" s="0" t="n">
        <v>0.1</v>
      </c>
      <c r="M241" s="0" t="n">
        <v>0.0584</v>
      </c>
      <c r="N241" s="0" t="n">
        <v>-0.0416</v>
      </c>
      <c r="O241" s="0" t="inlineStr">
        <is>
          <t>—</t>
        </is>
      </c>
    </row>
    <row r="242">
      <c r="A242" s="0" t="inlineStr">
        <is>
          <t>20260608</t>
        </is>
      </c>
      <c r="B242" s="0" t="inlineStr">
        <is>
          <t>10年国债ETF</t>
        </is>
      </c>
      <c r="C242" s="0" t="inlineStr">
        <is>
          <t>511260</t>
        </is>
      </c>
      <c r="D242" s="0" t="n">
        <v>3700</v>
      </c>
      <c r="E242" s="0" t="n">
        <v>135.645</v>
      </c>
      <c r="F242" s="0" t="n">
        <v>501886.5</v>
      </c>
      <c r="G242" s="0" t="n">
        <v>135.899</v>
      </c>
      <c r="H242" s="0" t="n">
        <v>-0.0013</v>
      </c>
      <c r="I242" s="0" t="n">
        <v>502826.3</v>
      </c>
      <c r="J242" s="0" t="n">
        <v>939.8</v>
      </c>
      <c r="K242" s="0" t="n">
        <v>0.0019</v>
      </c>
      <c r="L242" s="0" t="n">
        <v>0.1</v>
      </c>
      <c r="M242" s="0" t="n">
        <v>0.1465</v>
      </c>
      <c r="N242" s="0" t="n">
        <v>0.0465</v>
      </c>
      <c r="O242" s="0" t="inlineStr">
        <is>
          <t>—</t>
        </is>
      </c>
    </row>
    <row r="243">
      <c r="A243" s="0" t="inlineStr">
        <is>
          <t>20260608</t>
        </is>
      </c>
      <c r="B243" s="0" t="inlineStr">
        <is>
          <t>5年国债ETF</t>
        </is>
      </c>
      <c r="C243" s="0" t="inlineStr">
        <is>
          <t>511010</t>
        </is>
      </c>
      <c r="D243" s="0" t="n">
        <v>3500</v>
      </c>
      <c r="E243" s="0" t="n">
        <v>141.2121</v>
      </c>
      <c r="F243" s="0" t="n">
        <v>494242.35</v>
      </c>
      <c r="G243" s="0" t="n">
        <v>141.409</v>
      </c>
      <c r="H243" s="0" t="n">
        <v>-0.0005999999999999999</v>
      </c>
      <c r="I243" s="0" t="n">
        <v>494931.5</v>
      </c>
      <c r="J243" s="0" t="n">
        <v>689.15</v>
      </c>
      <c r="K243" s="0" t="n">
        <v>0.0014</v>
      </c>
      <c r="L243" s="0" t="n">
        <v>0.1</v>
      </c>
      <c r="M243" s="0" t="n">
        <v>0.1442</v>
      </c>
      <c r="N243" s="0" t="n">
        <v>0.0442</v>
      </c>
      <c r="O243" s="0" t="inlineStr">
        <is>
          <t>—</t>
        </is>
      </c>
    </row>
    <row r="244">
      <c r="A244" s="0" t="inlineStr">
        <is>
          <t>20260608</t>
        </is>
      </c>
      <c r="B244" s="0" t="inlineStr">
        <is>
          <t>短融ETF</t>
        </is>
      </c>
      <c r="C244" s="0" t="inlineStr">
        <is>
          <t>511360</t>
        </is>
      </c>
      <c r="D244" s="0" t="n">
        <v>2200</v>
      </c>
      <c r="E244" s="0" t="n">
        <v>113.462</v>
      </c>
      <c r="F244" s="0" t="n">
        <v>249616.4</v>
      </c>
      <c r="G244" s="0" t="n">
        <v>113.558</v>
      </c>
      <c r="H244" s="0" t="n">
        <v>0.0001</v>
      </c>
      <c r="I244" s="0" t="n">
        <v>249827.6</v>
      </c>
      <c r="J244" s="0" t="n">
        <v>211.2</v>
      </c>
      <c r="K244" s="0" t="n">
        <v>0.0008</v>
      </c>
      <c r="L244" s="0" t="n">
        <v>0.05</v>
      </c>
      <c r="M244" s="0" t="n">
        <v>0.0728</v>
      </c>
      <c r="N244" s="0" t="n">
        <v>0.0228</v>
      </c>
      <c r="O244" s="0" t="inlineStr">
        <is>
          <t>—</t>
        </is>
      </c>
    </row>
    <row r="245">
      <c r="A245" s="0" t="inlineStr">
        <is>
          <t>20260608</t>
        </is>
      </c>
      <c r="B245" s="0" t="inlineStr">
        <is>
          <t>黄金ETF</t>
        </is>
      </c>
      <c r="C245" s="0" t="inlineStr">
        <is>
          <t>518880</t>
        </is>
      </c>
      <c r="D245" s="0" t="n">
        <v>55800</v>
      </c>
      <c r="E245" s="0" t="n">
        <v>9.232699999999999</v>
      </c>
      <c r="F245" s="0" t="n">
        <v>515184.66</v>
      </c>
      <c r="G245" s="0" t="n">
        <v>8.952999999999999</v>
      </c>
      <c r="H245" s="0" t="n">
        <v>-0.0323</v>
      </c>
      <c r="I245" s="0" t="n">
        <v>499577.4</v>
      </c>
      <c r="J245" s="0" t="n">
        <v>-15607.26</v>
      </c>
      <c r="K245" s="0" t="n">
        <v>-0.0303</v>
      </c>
      <c r="L245" s="0" t="n">
        <v>0.15</v>
      </c>
      <c r="M245" s="0" t="n">
        <v>0.1456</v>
      </c>
      <c r="N245" s="0" t="n">
        <v>-0.0044</v>
      </c>
      <c r="O245" s="0" t="inlineStr">
        <is>
          <t>—</t>
        </is>
      </c>
    </row>
    <row r="246">
      <c r="A246" s="0" t="inlineStr">
        <is>
          <t>20260608</t>
        </is>
      </c>
      <c r="B246" s="0" t="inlineStr">
        <is>
          <t>银华日利ETF</t>
        </is>
      </c>
      <c r="C246" s="0" t="inlineStr">
        <is>
          <t>511880</t>
        </is>
      </c>
      <c r="G246" s="0" t="n">
        <v>100.516</v>
      </c>
      <c r="H246" s="0" t="n">
        <v>-0.0001</v>
      </c>
      <c r="I246" s="0" t="n">
        <v>0</v>
      </c>
      <c r="J246" s="0" t="n">
        <v>0</v>
      </c>
      <c r="K246" s="0" t="n">
        <v>0</v>
      </c>
      <c r="L246" s="0" t="n">
        <v>0.05</v>
      </c>
      <c r="M246" s="0" t="n">
        <v>0</v>
      </c>
      <c r="N246" s="0" t="n">
        <v>-0.05</v>
      </c>
      <c r="O246" s="0" t="inlineStr">
        <is>
          <t>—</t>
        </is>
      </c>
    </row>
    <row r="247">
      <c r="A247" s="0" t="inlineStr">
        <is>
          <t>20260608</t>
        </is>
      </c>
      <c r="B247" s="0" t="inlineStr">
        <is>
          <t>华宝添益ETF</t>
        </is>
      </c>
      <c r="C247" s="0" t="inlineStr">
        <is>
          <t>511990</t>
        </is>
      </c>
      <c r="G247" s="0" t="n">
        <v>100.002</v>
      </c>
      <c r="H247" s="0" t="n">
        <v>-0.0001</v>
      </c>
      <c r="I247" s="0" t="n">
        <v>0</v>
      </c>
      <c r="J247" s="0" t="n">
        <v>0</v>
      </c>
      <c r="K247" s="0" t="n">
        <v>0</v>
      </c>
      <c r="L247" s="0" t="n">
        <v>0.05</v>
      </c>
      <c r="M247" s="0" t="n">
        <v>0</v>
      </c>
      <c r="N247" s="0" t="n">
        <v>-0.05</v>
      </c>
      <c r="O247" s="0" t="inlineStr">
        <is>
          <t>—</t>
        </is>
      </c>
    </row>
    <row r="248">
      <c r="A248" s="0" t="inlineStr">
        <is>
          <t>20260612</t>
        </is>
      </c>
      <c r="B248" s="0" t="inlineStr">
        <is>
          <t>沪深300ETF</t>
        </is>
      </c>
      <c r="C248" s="0" t="inlineStr">
        <is>
          <t>510300</t>
        </is>
      </c>
      <c r="D248" s="0" t="n">
        <v>153800</v>
      </c>
      <c r="E248" s="0" t="n">
        <v>4.885</v>
      </c>
      <c r="F248" s="0" t="n">
        <v>751313</v>
      </c>
      <c r="G248" s="0" t="n">
        <v>4.818</v>
      </c>
      <c r="H248" s="0" t="n">
        <v>0.0141</v>
      </c>
      <c r="I248" s="0" t="n">
        <v>741008.4</v>
      </c>
      <c r="J248" s="0" t="n">
        <v>-10304.6</v>
      </c>
      <c r="K248" s="0" t="n">
        <v>-0.0137</v>
      </c>
      <c r="L248" s="0" t="n">
        <v>0.15</v>
      </c>
      <c r="M248" s="0" t="n">
        <v>0.2156</v>
      </c>
      <c r="N248" s="0" t="n">
        <v>0.06560000000000001</v>
      </c>
      <c r="O248" s="0" t="inlineStr">
        <is>
          <t>—</t>
        </is>
      </c>
    </row>
    <row r="249">
      <c r="A249" s="0" t="inlineStr">
        <is>
          <t>20260612</t>
        </is>
      </c>
      <c r="B249" s="0" t="inlineStr">
        <is>
          <t>中证500ETF</t>
        </is>
      </c>
      <c r="C249" s="0" t="inlineStr">
        <is>
          <t>510500</t>
        </is>
      </c>
      <c r="D249" s="0" t="n">
        <v>20000</v>
      </c>
      <c r="E249" s="0" t="n">
        <v>8.696</v>
      </c>
      <c r="F249" s="0" t="n">
        <v>173920</v>
      </c>
      <c r="G249" s="0" t="n">
        <v>8.242000000000001</v>
      </c>
      <c r="H249" s="0" t="n">
        <v>0.0134</v>
      </c>
      <c r="I249" s="0" t="n">
        <v>164840</v>
      </c>
      <c r="J249" s="0" t="n">
        <v>-9080</v>
      </c>
      <c r="K249" s="0" t="n">
        <v>-0.0522</v>
      </c>
      <c r="L249" s="0" t="n">
        <v>0.1</v>
      </c>
      <c r="M249" s="0" t="n">
        <v>0.048</v>
      </c>
      <c r="N249" s="0" t="n">
        <v>-0.052</v>
      </c>
      <c r="O249" s="0" t="inlineStr">
        <is>
          <t>—</t>
        </is>
      </c>
    </row>
    <row r="250">
      <c r="A250" s="0" t="inlineStr">
        <is>
          <t>20260612</t>
        </is>
      </c>
      <c r="B250" s="0" t="inlineStr">
        <is>
          <t>科创50ETF</t>
        </is>
      </c>
      <c r="C250" s="0" t="inlineStr">
        <is>
          <t>588050</t>
        </is>
      </c>
      <c r="D250" s="0" t="n">
        <v>60000</v>
      </c>
      <c r="E250" s="0" t="n">
        <v>1.838</v>
      </c>
      <c r="F250" s="0" t="n">
        <v>110280</v>
      </c>
      <c r="G250" s="0" t="n">
        <v>1.709</v>
      </c>
      <c r="H250" s="0" t="n">
        <v>-0.0005999999999999999</v>
      </c>
      <c r="I250" s="0" t="n">
        <v>102540</v>
      </c>
      <c r="J250" s="0" t="n">
        <v>-7740</v>
      </c>
      <c r="K250" s="0" t="n">
        <v>-0.0702</v>
      </c>
      <c r="L250" s="0" t="n">
        <v>0.05</v>
      </c>
      <c r="M250" s="0" t="n">
        <v>0.0298</v>
      </c>
      <c r="N250" s="0" t="n">
        <v>-0.0202</v>
      </c>
      <c r="O250" s="0" t="inlineStr">
        <is>
          <t>—</t>
        </is>
      </c>
    </row>
    <row r="251">
      <c r="A251" s="0" t="inlineStr">
        <is>
          <t>20260612</t>
        </is>
      </c>
      <c r="B251" s="0" t="inlineStr">
        <is>
          <t>创业板ETF</t>
        </is>
      </c>
      <c r="C251" s="0" t="inlineStr">
        <is>
          <t>159915</t>
        </is>
      </c>
      <c r="D251" s="0" t="n">
        <v>63000</v>
      </c>
      <c r="E251" s="0" t="n">
        <v>3.968</v>
      </c>
      <c r="F251" s="0" t="n">
        <v>249984</v>
      </c>
      <c r="G251" s="0" t="n">
        <v>3.846</v>
      </c>
      <c r="H251" s="0" t="n">
        <v>0.0042</v>
      </c>
      <c r="I251" s="0" t="n">
        <v>242298</v>
      </c>
      <c r="J251" s="0" t="n">
        <v>-7686</v>
      </c>
      <c r="K251" s="0" t="n">
        <v>-0.0307</v>
      </c>
      <c r="L251" s="0" t="n">
        <v>0.05</v>
      </c>
      <c r="M251" s="0" t="n">
        <v>0.07049999999999999</v>
      </c>
      <c r="N251" s="0" t="n">
        <v>0.0205</v>
      </c>
      <c r="O251" s="0" t="inlineStr">
        <is>
          <t>—</t>
        </is>
      </c>
    </row>
    <row r="252">
      <c r="A252" s="0" t="inlineStr">
        <is>
          <t>20260612</t>
        </is>
      </c>
      <c r="B252" s="0" t="inlineStr">
        <is>
          <t>红利低波ETF</t>
        </is>
      </c>
      <c r="C252" s="0" t="inlineStr">
        <is>
          <t>512890</t>
        </is>
      </c>
      <c r="D252" s="0" t="n">
        <v>218000</v>
      </c>
      <c r="E252" s="0" t="n">
        <v>1.15</v>
      </c>
      <c r="F252" s="0" t="n">
        <v>250700</v>
      </c>
      <c r="G252" s="0" t="n">
        <v>1.172</v>
      </c>
      <c r="H252" s="0" t="n">
        <v>0.0086</v>
      </c>
      <c r="I252" s="0" t="n">
        <v>255496</v>
      </c>
      <c r="J252" s="0" t="n">
        <v>4796</v>
      </c>
      <c r="K252" s="0" t="n">
        <v>0.0191</v>
      </c>
      <c r="L252" s="0" t="n">
        <v>0.05</v>
      </c>
      <c r="M252" s="0" t="n">
        <v>0.0743</v>
      </c>
      <c r="N252" s="0" t="n">
        <v>0.0243</v>
      </c>
      <c r="O252" s="0" t="inlineStr">
        <is>
          <t>—</t>
        </is>
      </c>
    </row>
    <row r="253">
      <c r="A253" s="0" t="inlineStr">
        <is>
          <t>20260612</t>
        </is>
      </c>
      <c r="B253" s="0" t="inlineStr">
        <is>
          <t>可转债ETF</t>
        </is>
      </c>
      <c r="C253" s="0" t="inlineStr">
        <is>
          <t>511380</t>
        </is>
      </c>
      <c r="D253" s="0" t="n">
        <v>14500</v>
      </c>
      <c r="E253" s="0" t="n">
        <v>13.8644</v>
      </c>
      <c r="F253" s="0" t="n">
        <v>201033.8</v>
      </c>
      <c r="G253" s="0" t="n">
        <v>13.929</v>
      </c>
      <c r="H253" s="0" t="n">
        <v>0.0083</v>
      </c>
      <c r="I253" s="0" t="n">
        <v>201970.5</v>
      </c>
      <c r="J253" s="0" t="n">
        <v>936.7</v>
      </c>
      <c r="K253" s="0" t="n">
        <v>0.0047</v>
      </c>
      <c r="L253" s="0" t="n">
        <v>0.1</v>
      </c>
      <c r="M253" s="0" t="n">
        <v>0.0588</v>
      </c>
      <c r="N253" s="0" t="n">
        <v>-0.0412</v>
      </c>
      <c r="O253" s="0" t="inlineStr">
        <is>
          <t>—</t>
        </is>
      </c>
    </row>
    <row r="254">
      <c r="A254" s="0" t="inlineStr">
        <is>
          <t>20260612</t>
        </is>
      </c>
      <c r="B254" s="0" t="inlineStr">
        <is>
          <t>10年国债ETF</t>
        </is>
      </c>
      <c r="C254" s="0" t="inlineStr">
        <is>
          <t>511260</t>
        </is>
      </c>
      <c r="D254" s="0" t="n">
        <v>3700</v>
      </c>
      <c r="E254" s="0" t="n">
        <v>135.645</v>
      </c>
      <c r="F254" s="0" t="n">
        <v>501886.5</v>
      </c>
      <c r="G254" s="0" t="n">
        <v>135.582</v>
      </c>
      <c r="H254" s="0" t="n">
        <v>0.0005</v>
      </c>
      <c r="I254" s="0" t="n">
        <v>501653.4</v>
      </c>
      <c r="J254" s="0" t="n">
        <v>-233.1</v>
      </c>
      <c r="K254" s="0" t="n">
        <v>-0.0005</v>
      </c>
      <c r="L254" s="0" t="n">
        <v>0.1</v>
      </c>
      <c r="M254" s="0" t="n">
        <v>0.146</v>
      </c>
      <c r="N254" s="0" t="n">
        <v>0.046</v>
      </c>
      <c r="O254" s="0" t="inlineStr">
        <is>
          <t>—</t>
        </is>
      </c>
    </row>
    <row r="255">
      <c r="A255" s="0" t="inlineStr">
        <is>
          <t>20260612</t>
        </is>
      </c>
      <c r="B255" s="0" t="inlineStr">
        <is>
          <t>5年国债ETF</t>
        </is>
      </c>
      <c r="C255" s="0" t="inlineStr">
        <is>
          <t>511010</t>
        </is>
      </c>
      <c r="D255" s="0" t="n">
        <v>3500</v>
      </c>
      <c r="E255" s="0" t="n">
        <v>141.2121</v>
      </c>
      <c r="F255" s="0" t="n">
        <v>494242.35</v>
      </c>
      <c r="G255" s="0" t="n">
        <v>141.163</v>
      </c>
      <c r="H255" s="0" t="n">
        <v>0.0002</v>
      </c>
      <c r="I255" s="0" t="n">
        <v>494070.5</v>
      </c>
      <c r="J255" s="0" t="n">
        <v>-171.85</v>
      </c>
      <c r="K255" s="0" t="n">
        <v>-0.0003</v>
      </c>
      <c r="L255" s="0" t="n">
        <v>0.1</v>
      </c>
      <c r="M255" s="0" t="n">
        <v>0.1438</v>
      </c>
      <c r="N255" s="0" t="n">
        <v>0.0438</v>
      </c>
      <c r="O255" s="0" t="inlineStr">
        <is>
          <t>—</t>
        </is>
      </c>
    </row>
    <row r="256">
      <c r="A256" s="0" t="inlineStr">
        <is>
          <t>20260612</t>
        </is>
      </c>
      <c r="B256" s="0" t="inlineStr">
        <is>
          <t>短融ETF</t>
        </is>
      </c>
      <c r="C256" s="0" t="inlineStr">
        <is>
          <t>511360</t>
        </is>
      </c>
      <c r="D256" s="0" t="n">
        <v>2200</v>
      </c>
      <c r="E256" s="0" t="n">
        <v>113.462</v>
      </c>
      <c r="F256" s="0" t="n">
        <v>249616.4</v>
      </c>
      <c r="G256" s="0" t="n">
        <v>113.538</v>
      </c>
      <c r="H256" s="0" t="n">
        <v>-0.0001</v>
      </c>
      <c r="I256" s="0" t="n">
        <v>249783.6</v>
      </c>
      <c r="J256" s="0" t="n">
        <v>167.2</v>
      </c>
      <c r="K256" s="0" t="n">
        <v>0.0007</v>
      </c>
      <c r="L256" s="0" t="n">
        <v>0.05</v>
      </c>
      <c r="M256" s="0" t="n">
        <v>0.0727</v>
      </c>
      <c r="N256" s="0" t="n">
        <v>0.0227</v>
      </c>
      <c r="O256" s="0" t="inlineStr">
        <is>
          <t>—</t>
        </is>
      </c>
    </row>
    <row r="257">
      <c r="A257" s="0" t="inlineStr">
        <is>
          <t>20260612</t>
        </is>
      </c>
      <c r="B257" s="0" t="inlineStr">
        <is>
          <t>黄金ETF</t>
        </is>
      </c>
      <c r="C257" s="0" t="inlineStr">
        <is>
          <t>518880</t>
        </is>
      </c>
      <c r="D257" s="0" t="n">
        <v>55800</v>
      </c>
      <c r="E257" s="0" t="n">
        <v>9.232699999999999</v>
      </c>
      <c r="F257" s="0" t="n">
        <v>515184.66</v>
      </c>
      <c r="G257" s="0" t="n">
        <v>8.659000000000001</v>
      </c>
      <c r="H257" s="0" t="n">
        <v>0.018</v>
      </c>
      <c r="I257" s="0" t="n">
        <v>483172.2</v>
      </c>
      <c r="J257" s="0" t="n">
        <v>-32012.46</v>
      </c>
      <c r="K257" s="0" t="n">
        <v>-0.0621</v>
      </c>
      <c r="L257" s="0" t="n">
        <v>0.15</v>
      </c>
      <c r="M257" s="0" t="n">
        <v>0.1406</v>
      </c>
      <c r="N257" s="0" t="n">
        <v>-0.0094</v>
      </c>
      <c r="O257" s="0" t="inlineStr">
        <is>
          <t>—</t>
        </is>
      </c>
    </row>
    <row r="258">
      <c r="A258" s="0" t="inlineStr">
        <is>
          <t>20260612</t>
        </is>
      </c>
      <c r="B258" s="0" t="inlineStr">
        <is>
          <t>银华日利ETF</t>
        </is>
      </c>
      <c r="C258" s="0" t="inlineStr">
        <is>
          <t>511880</t>
        </is>
      </c>
      <c r="G258" s="0" t="n">
        <v>100.517</v>
      </c>
      <c r="H258" s="0" t="n">
        <v>-0.0001</v>
      </c>
      <c r="I258" s="0" t="n">
        <v>0</v>
      </c>
      <c r="J258" s="0" t="n">
        <v>0</v>
      </c>
      <c r="K258" s="0" t="n">
        <v>0</v>
      </c>
      <c r="L258" s="0" t="n">
        <v>0.05</v>
      </c>
      <c r="M258" s="0" t="n">
        <v>0</v>
      </c>
      <c r="N258" s="0" t="n">
        <v>-0.05</v>
      </c>
      <c r="O258" s="0" t="inlineStr">
        <is>
          <t>—</t>
        </is>
      </c>
    </row>
    <row r="259">
      <c r="A259" s="0" t="inlineStr">
        <is>
          <t>20260612</t>
        </is>
      </c>
      <c r="B259" s="0" t="inlineStr">
        <is>
          <t>华宝添益ETF</t>
        </is>
      </c>
      <c r="C259" s="0" t="inlineStr">
        <is>
          <t>511990</t>
        </is>
      </c>
      <c r="G259" s="0" t="n">
        <v>100.003</v>
      </c>
      <c r="I259" s="0" t="n">
        <v>0</v>
      </c>
      <c r="J259" s="0" t="n">
        <v>0</v>
      </c>
      <c r="K259" s="0" t="n">
        <v>0</v>
      </c>
      <c r="L259" s="0" t="n">
        <v>0.05</v>
      </c>
      <c r="M259" s="0" t="n">
        <v>0</v>
      </c>
      <c r="N259" s="0" t="n">
        <v>-0.05</v>
      </c>
      <c r="O259" s="0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2026-06-22T04:24:38Z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